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IBS Orders 2026\FLANNIGAN 2026\MOCKTAIL\"/>
    </mc:Choice>
  </mc:AlternateContent>
  <xr:revisionPtr revIDLastSave="0" documentId="13_ncr:1_{DCD8D1AD-B8EB-42FC-B96E-1C20F33B636B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WS73503" sheetId="38" r:id="rId1"/>
    <sheet name="WS73150" sheetId="37" r:id="rId2"/>
    <sheet name="WS72823" sheetId="31" r:id="rId3"/>
    <sheet name="WS72818" sheetId="34" r:id="rId4"/>
    <sheet name="WS72817 WS73338" sheetId="35" r:id="rId5"/>
    <sheet name="WS72816" sheetId="36" r:id="rId6"/>
  </sheets>
  <definedNames>
    <definedName name="_xlnm.Print_Area" localSheetId="5">'WS72816'!$A$1:$M$5</definedName>
    <definedName name="_xlnm.Print_Area" localSheetId="4">'WS72817 WS73338'!$A$1:$M$4</definedName>
    <definedName name="_xlnm.Print_Area" localSheetId="3">'WS72818'!$A$1:$M$5</definedName>
    <definedName name="_xlnm.Print_Area" localSheetId="2">'WS72823'!$A$1:$M$5</definedName>
    <definedName name="_xlnm.Print_Area" localSheetId="0">'WS73503'!$A$1:$M$5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8" i="38" l="1"/>
  <c r="H28" i="38"/>
  <c r="I27" i="38"/>
  <c r="J27" i="38" s="1"/>
  <c r="I26" i="38"/>
  <c r="K26" i="38" s="1"/>
  <c r="I25" i="38"/>
  <c r="K25" i="38" s="1"/>
  <c r="I24" i="38"/>
  <c r="K24" i="38" s="1"/>
  <c r="I23" i="38"/>
  <c r="K23" i="38" s="1"/>
  <c r="I22" i="38"/>
  <c r="K22" i="38" s="1"/>
  <c r="I21" i="38"/>
  <c r="K21" i="38" s="1"/>
  <c r="I20" i="38"/>
  <c r="K20" i="38" s="1"/>
  <c r="I19" i="38"/>
  <c r="K19" i="38" s="1"/>
  <c r="I18" i="38"/>
  <c r="K18" i="38" s="1"/>
  <c r="I17" i="38"/>
  <c r="K17" i="38" s="1"/>
  <c r="I16" i="38"/>
  <c r="K16" i="38" s="1"/>
  <c r="I15" i="38"/>
  <c r="K15" i="38" s="1"/>
  <c r="I14" i="38"/>
  <c r="K14" i="38" s="1"/>
  <c r="I13" i="38"/>
  <c r="K13" i="38" s="1"/>
  <c r="I12" i="38"/>
  <c r="K12" i="38" s="1"/>
  <c r="I11" i="38"/>
  <c r="K11" i="38" s="1"/>
  <c r="I10" i="38"/>
  <c r="K10" i="38" s="1"/>
  <c r="I9" i="38"/>
  <c r="K9" i="38" s="1"/>
  <c r="I8" i="38"/>
  <c r="K8" i="38" s="1"/>
  <c r="I7" i="38"/>
  <c r="K7" i="38" s="1"/>
  <c r="I6" i="38"/>
  <c r="K6" i="38" s="1"/>
  <c r="I5" i="38"/>
  <c r="K5" i="38" s="1"/>
  <c r="A5" i="38"/>
  <c r="A6" i="38" s="1"/>
  <c r="A7" i="38" s="1"/>
  <c r="A8" i="38" s="1"/>
  <c r="A9" i="38" s="1"/>
  <c r="A10" i="38" s="1"/>
  <c r="A11" i="38" s="1"/>
  <c r="A12" i="38" s="1"/>
  <c r="A13" i="38" s="1"/>
  <c r="A14" i="38" s="1"/>
  <c r="A15" i="38" s="1"/>
  <c r="A16" i="38" s="1"/>
  <c r="A17" i="38" s="1"/>
  <c r="A18" i="38" s="1"/>
  <c r="A19" i="38" s="1"/>
  <c r="A20" i="38" s="1"/>
  <c r="A21" i="38" s="1"/>
  <c r="A22" i="38" s="1"/>
  <c r="A23" i="38" s="1"/>
  <c r="A24" i="38" s="1"/>
  <c r="A25" i="38" s="1"/>
  <c r="A26" i="38" s="1"/>
  <c r="A27" i="38" s="1"/>
  <c r="I4" i="38"/>
  <c r="K4" i="38" s="1"/>
  <c r="I4" i="37"/>
  <c r="K4" i="37" s="1"/>
  <c r="H5" i="37"/>
  <c r="K27" i="38" l="1"/>
  <c r="J26" i="38"/>
  <c r="J25" i="38"/>
  <c r="J4" i="38"/>
  <c r="J5" i="38"/>
  <c r="J6" i="38"/>
  <c r="J7" i="38"/>
  <c r="J8" i="38"/>
  <c r="J9" i="38"/>
  <c r="J10" i="38"/>
  <c r="J11" i="38"/>
  <c r="J12" i="38"/>
  <c r="J13" i="38"/>
  <c r="J14" i="38"/>
  <c r="J15" i="38"/>
  <c r="J16" i="38"/>
  <c r="J17" i="38"/>
  <c r="J18" i="38"/>
  <c r="J19" i="38"/>
  <c r="J20" i="38"/>
  <c r="J21" i="38"/>
  <c r="J22" i="38"/>
  <c r="J23" i="38"/>
  <c r="J24" i="38"/>
  <c r="J4" i="37"/>
  <c r="I5" i="37"/>
  <c r="A12" i="35" l="1"/>
  <c r="I12" i="35"/>
  <c r="K12" i="35" s="1"/>
  <c r="I11" i="35"/>
  <c r="K11" i="35" s="1"/>
  <c r="K25" i="31"/>
  <c r="J25" i="31"/>
  <c r="K20" i="34"/>
  <c r="J20" i="34"/>
  <c r="K24" i="36"/>
  <c r="J24" i="36"/>
  <c r="A22" i="36"/>
  <c r="A23" i="36" s="1"/>
  <c r="I22" i="36"/>
  <c r="K22" i="36" s="1"/>
  <c r="I16" i="36"/>
  <c r="K16" i="36" s="1"/>
  <c r="I11" i="36"/>
  <c r="J11" i="36" s="1"/>
  <c r="I6" i="36"/>
  <c r="K6" i="36" s="1"/>
  <c r="H24" i="36"/>
  <c r="I23" i="36"/>
  <c r="K23" i="36" s="1"/>
  <c r="I21" i="36"/>
  <c r="J21" i="36" s="1"/>
  <c r="I20" i="36"/>
  <c r="K20" i="36" s="1"/>
  <c r="I19" i="36"/>
  <c r="K19" i="36" s="1"/>
  <c r="I18" i="36"/>
  <c r="K18" i="36" s="1"/>
  <c r="I17" i="36"/>
  <c r="J17" i="36" s="1"/>
  <c r="I15" i="36"/>
  <c r="K15" i="36" s="1"/>
  <c r="I14" i="36"/>
  <c r="K14" i="36" s="1"/>
  <c r="I13" i="36"/>
  <c r="K13" i="36" s="1"/>
  <c r="I12" i="36"/>
  <c r="J12" i="36" s="1"/>
  <c r="I10" i="36"/>
  <c r="K10" i="36" s="1"/>
  <c r="I9" i="36"/>
  <c r="K9" i="36" s="1"/>
  <c r="I8" i="36"/>
  <c r="K8" i="36" s="1"/>
  <c r="I7" i="36"/>
  <c r="J7" i="36" s="1"/>
  <c r="I5" i="36"/>
  <c r="K5" i="36" s="1"/>
  <c r="A5" i="36"/>
  <c r="A6" i="36" s="1"/>
  <c r="A7" i="36" s="1"/>
  <c r="I4" i="36"/>
  <c r="K4" i="36" s="1"/>
  <c r="H5" i="35"/>
  <c r="I4" i="35"/>
  <c r="I5" i="35" s="1"/>
  <c r="H20" i="34"/>
  <c r="I19" i="34"/>
  <c r="K19" i="34" s="1"/>
  <c r="I18" i="34"/>
  <c r="K18" i="34" s="1"/>
  <c r="I17" i="34"/>
  <c r="K17" i="34" s="1"/>
  <c r="I16" i="34"/>
  <c r="K16" i="34" s="1"/>
  <c r="I15" i="34"/>
  <c r="K15" i="34" s="1"/>
  <c r="I14" i="34"/>
  <c r="K14" i="34" s="1"/>
  <c r="I13" i="34"/>
  <c r="K13" i="34" s="1"/>
  <c r="I12" i="34"/>
  <c r="K12" i="34" s="1"/>
  <c r="I11" i="34"/>
  <c r="K11" i="34" s="1"/>
  <c r="I10" i="34"/>
  <c r="K10" i="34" s="1"/>
  <c r="J9" i="34"/>
  <c r="I9" i="34"/>
  <c r="K9" i="34" s="1"/>
  <c r="I8" i="34"/>
  <c r="K8" i="34" s="1"/>
  <c r="I7" i="34"/>
  <c r="K7" i="34" s="1"/>
  <c r="I6" i="34"/>
  <c r="K6" i="34" s="1"/>
  <c r="I5" i="34"/>
  <c r="K5" i="34" s="1"/>
  <c r="A5" i="34"/>
  <c r="A6" i="34" s="1"/>
  <c r="A7" i="34" s="1"/>
  <c r="A8" i="34" s="1"/>
  <c r="A9" i="34" s="1"/>
  <c r="A10" i="34" s="1"/>
  <c r="A11" i="34" s="1"/>
  <c r="A12" i="34" s="1"/>
  <c r="A13" i="34" s="1"/>
  <c r="A14" i="34" s="1"/>
  <c r="A15" i="34" s="1"/>
  <c r="A16" i="34" s="1"/>
  <c r="A17" i="34" s="1"/>
  <c r="A18" i="34" s="1"/>
  <c r="A19" i="34" s="1"/>
  <c r="I4" i="34"/>
  <c r="I25" i="31"/>
  <c r="H25" i="31"/>
  <c r="I24" i="31"/>
  <c r="K24" i="31" s="1"/>
  <c r="I23" i="31"/>
  <c r="K23" i="31" s="1"/>
  <c r="I22" i="31"/>
  <c r="K22" i="31" s="1"/>
  <c r="I21" i="31"/>
  <c r="K21" i="31" s="1"/>
  <c r="I20" i="31"/>
  <c r="K20" i="31" s="1"/>
  <c r="I19" i="31"/>
  <c r="K19" i="31" s="1"/>
  <c r="I18" i="31"/>
  <c r="K18" i="31" s="1"/>
  <c r="I17" i="31"/>
  <c r="K17" i="31" s="1"/>
  <c r="I16" i="31"/>
  <c r="K16" i="31" s="1"/>
  <c r="I15" i="31"/>
  <c r="K15" i="31" s="1"/>
  <c r="I14" i="31"/>
  <c r="K14" i="31" s="1"/>
  <c r="I13" i="31"/>
  <c r="K13" i="31" s="1"/>
  <c r="I12" i="31"/>
  <c r="K12" i="31" s="1"/>
  <c r="I11" i="31"/>
  <c r="K11" i="31" s="1"/>
  <c r="I10" i="31"/>
  <c r="K10" i="31" s="1"/>
  <c r="I9" i="31"/>
  <c r="K9" i="31" s="1"/>
  <c r="I8" i="31"/>
  <c r="K8" i="31" s="1"/>
  <c r="I7" i="31"/>
  <c r="K7" i="31" s="1"/>
  <c r="I6" i="31"/>
  <c r="K6" i="31" s="1"/>
  <c r="A6" i="31"/>
  <c r="A7" i="31" s="1"/>
  <c r="A8" i="31" s="1"/>
  <c r="A9" i="31" s="1"/>
  <c r="A10" i="31" s="1"/>
  <c r="A11" i="31" s="1"/>
  <c r="A12" i="31" s="1"/>
  <c r="A13" i="31" s="1"/>
  <c r="A14" i="31" s="1"/>
  <c r="A15" i="31" s="1"/>
  <c r="A16" i="31" s="1"/>
  <c r="A17" i="31" s="1"/>
  <c r="A18" i="31" s="1"/>
  <c r="A19" i="31" s="1"/>
  <c r="A20" i="31" s="1"/>
  <c r="A21" i="31" s="1"/>
  <c r="A22" i="31" s="1"/>
  <c r="A23" i="31" s="1"/>
  <c r="A24" i="31" s="1"/>
  <c r="A5" i="31"/>
  <c r="I5" i="31"/>
  <c r="K5" i="31" s="1"/>
  <c r="I4" i="31"/>
  <c r="J12" i="35" l="1"/>
  <c r="J11" i="35"/>
  <c r="J22" i="36"/>
  <c r="J16" i="36"/>
  <c r="K11" i="36"/>
  <c r="J14" i="36"/>
  <c r="J19" i="36"/>
  <c r="J9" i="36"/>
  <c r="A8" i="36"/>
  <c r="A9" i="36" s="1"/>
  <c r="A10" i="36" s="1"/>
  <c r="J6" i="36"/>
  <c r="K7" i="36"/>
  <c r="K21" i="36"/>
  <c r="J5" i="36"/>
  <c r="J10" i="36"/>
  <c r="J15" i="36"/>
  <c r="J20" i="36"/>
  <c r="K12" i="36"/>
  <c r="K17" i="36"/>
  <c r="J8" i="36"/>
  <c r="J13" i="36"/>
  <c r="J18" i="36"/>
  <c r="J23" i="36"/>
  <c r="I24" i="36"/>
  <c r="J4" i="36"/>
  <c r="J4" i="35"/>
  <c r="K4" i="35"/>
  <c r="J7" i="34"/>
  <c r="J5" i="34"/>
  <c r="J13" i="34"/>
  <c r="J19" i="34"/>
  <c r="J15" i="34"/>
  <c r="J11" i="34"/>
  <c r="J17" i="34"/>
  <c r="J6" i="34"/>
  <c r="J8" i="34"/>
  <c r="J10" i="34"/>
  <c r="J12" i="34"/>
  <c r="J14" i="34"/>
  <c r="J16" i="34"/>
  <c r="J18" i="34"/>
  <c r="I20" i="34"/>
  <c r="J4" i="34"/>
  <c r="K4" i="34"/>
  <c r="J6" i="31"/>
  <c r="J7" i="31"/>
  <c r="J9" i="31"/>
  <c r="J10" i="31"/>
  <c r="J11" i="31"/>
  <c r="J12" i="31"/>
  <c r="J13" i="31"/>
  <c r="J14" i="31"/>
  <c r="J15" i="31"/>
  <c r="J16" i="31"/>
  <c r="J17" i="31"/>
  <c r="J18" i="31"/>
  <c r="J19" i="31"/>
  <c r="J20" i="31"/>
  <c r="J21" i="31"/>
  <c r="J22" i="31"/>
  <c r="J23" i="31"/>
  <c r="J24" i="31"/>
  <c r="J8" i="31"/>
  <c r="J5" i="31"/>
  <c r="J4" i="31"/>
  <c r="K4" i="31"/>
  <c r="A11" i="36" l="1"/>
  <c r="A12" i="36" s="1"/>
  <c r="A13" i="36" s="1"/>
  <c r="A14" i="36" s="1"/>
  <c r="A15" i="36" s="1"/>
  <c r="A16" i="36" l="1"/>
  <c r="A17" i="36" s="1"/>
  <c r="A18" i="36" s="1"/>
  <c r="A19" i="36" s="1"/>
  <c r="A20" i="36" s="1"/>
  <c r="A21" i="36" s="1"/>
</calcChain>
</file>

<file path=xl/sharedStrings.xml><?xml version="1.0" encoding="utf-8"?>
<sst xmlns="http://schemas.openxmlformats.org/spreadsheetml/2006/main" count="311" uniqueCount="80">
  <si>
    <t>LABEL</t>
  </si>
  <si>
    <t>PRESSBOX</t>
  </si>
  <si>
    <t>WS #</t>
  </si>
  <si>
    <t>SHIP DATE</t>
  </si>
  <si>
    <t>Color 1</t>
  </si>
  <si>
    <t>SR #</t>
  </si>
  <si>
    <t>CONTRACT #</t>
  </si>
  <si>
    <t>EMB</t>
  </si>
  <si>
    <t>MAIN BODY</t>
  </si>
  <si>
    <t>APPLIQUE</t>
  </si>
  <si>
    <t>QUANTITY</t>
  </si>
  <si>
    <t>FLEECE</t>
  </si>
  <si>
    <t>2 X 1 RIB</t>
  </si>
  <si>
    <t>TO &amp; DATE</t>
  </si>
  <si>
    <t>RETURN DATE</t>
  </si>
  <si>
    <t>MOCKTAIL</t>
  </si>
  <si>
    <t>ROYCE APPAREL</t>
  </si>
  <si>
    <t>BACK EMBROIDERY</t>
  </si>
  <si>
    <t>FRONT  EMB</t>
  </si>
  <si>
    <t>IND</t>
  </si>
  <si>
    <t>LSU</t>
  </si>
  <si>
    <t>NTD</t>
  </si>
  <si>
    <t>UAL</t>
  </si>
  <si>
    <t>UGA</t>
  </si>
  <si>
    <t>UMI</t>
  </si>
  <si>
    <t>UTN</t>
  </si>
  <si>
    <t>IVR-</t>
  </si>
  <si>
    <t>MIS</t>
  </si>
  <si>
    <t>UFL</t>
  </si>
  <si>
    <t>CONTRACT PK</t>
  </si>
  <si>
    <t>CAL</t>
  </si>
  <si>
    <t>DUK</t>
  </si>
  <si>
    <t>HOU</t>
  </si>
  <si>
    <t>ILL</t>
  </si>
  <si>
    <t>ISU</t>
  </si>
  <si>
    <t>IWA</t>
  </si>
  <si>
    <t>NAV</t>
  </si>
  <si>
    <t>SYR</t>
  </si>
  <si>
    <t>TEX</t>
  </si>
  <si>
    <t>UCF</t>
  </si>
  <si>
    <t>UKY</t>
  </si>
  <si>
    <t>ULV</t>
  </si>
  <si>
    <t>UMO</t>
  </si>
  <si>
    <t>USC</t>
  </si>
  <si>
    <t>VTU</t>
  </si>
  <si>
    <t>WIS</t>
  </si>
  <si>
    <t>ARK</t>
  </si>
  <si>
    <t>ASU</t>
  </si>
  <si>
    <t>CLE</t>
  </si>
  <si>
    <t>ETS</t>
  </si>
  <si>
    <t>MSS</t>
  </si>
  <si>
    <t>NCS</t>
  </si>
  <si>
    <t>NEB</t>
  </si>
  <si>
    <t>UNC</t>
  </si>
  <si>
    <t>WKU</t>
  </si>
  <si>
    <t>AUB</t>
  </si>
  <si>
    <t>WVU</t>
  </si>
  <si>
    <t>IVR-CRI</t>
  </si>
  <si>
    <t>IVR-ORN</t>
  </si>
  <si>
    <t>ROYCE BRAND</t>
  </si>
  <si>
    <t>RGD</t>
  </si>
  <si>
    <t>IVR</t>
  </si>
  <si>
    <t>PLAID</t>
  </si>
  <si>
    <t>MERRY CHRISTMAS</t>
  </si>
  <si>
    <t>CONTRACT # PK</t>
  </si>
  <si>
    <t>ARZ</t>
  </si>
  <si>
    <t>CIN</t>
  </si>
  <si>
    <t>COL</t>
  </si>
  <si>
    <t>GMU</t>
  </si>
  <si>
    <t>KAN</t>
  </si>
  <si>
    <t>KSU</t>
  </si>
  <si>
    <t>OKL</t>
  </si>
  <si>
    <t>OSU</t>
  </si>
  <si>
    <t>PSU</t>
  </si>
  <si>
    <t>TAM</t>
  </si>
  <si>
    <t>TTU</t>
  </si>
  <si>
    <t>UCN</t>
  </si>
  <si>
    <t>WMY</t>
  </si>
  <si>
    <t>NAVY</t>
  </si>
  <si>
    <t>IVR-NAVY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</si>
</sst>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/>
    <xf numFmtId="0" fontId="2" fillId="0" borderId="0" xfId="0" applyFont="1"/>
    <xf numFmtId="16" fontId="7" fillId="0" borderId="0" xfId="0" applyNumberFormat="1" applyFont="1" applyAlignment="1">
      <alignment horizontal="center"/>
    </xf>
    <xf numFmtId="16" fontId="5" fillId="0" borderId="0" xfId="0" applyNumberFormat="1" applyFont="1"/>
    <xf numFmtId="0" fontId="6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1" fontId="8" fillId="0" borderId="3" xfId="0" applyNumberFormat="1" applyFont="1" applyBorder="1" applyAlignment="1">
      <alignment horizontal="center" vertical="center"/>
    </xf>
    <xf numFmtId="16" fontId="7" fillId="0" borderId="0" xfId="0" applyNumberFormat="1" applyFont="1"/>
    <xf numFmtId="0" fontId="5" fillId="0" borderId="4" xfId="0" applyFont="1" applyBorder="1" applyAlignment="1">
      <alignment vertical="center"/>
    </xf>
    <xf numFmtId="1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25400</xdr:colOff>
      <xdr:row>3</xdr:row>
      <xdr:rowOff>44450</xdr:rowOff>
    </xdr:from>
    <xdr:to>
      <xdr:col>5</xdr:col>
      <xdr:colOff>1332442</xdr:colOff>
      <xdr:row>3</xdr:row>
      <xdr:rowOff>457200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61913F3-7EEE-4CEC-BE15-8D00CEE3C8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89350" y="628650"/>
          <a:ext cx="1307042" cy="41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38100</xdr:colOff>
      <xdr:row>3</xdr:row>
      <xdr:rowOff>31750</xdr:rowOff>
    </xdr:from>
    <xdr:to>
      <xdr:col>6</xdr:col>
      <xdr:colOff>730250</xdr:colOff>
      <xdr:row>3</xdr:row>
      <xdr:rowOff>464048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A102B95-2EA8-4F49-BA29-5E562893D1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0950" y="615950"/>
          <a:ext cx="692150" cy="4322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31750</xdr:colOff>
      <xdr:row>3</xdr:row>
      <xdr:rowOff>82550</xdr:rowOff>
    </xdr:from>
    <xdr:to>
      <xdr:col>5</xdr:col>
      <xdr:colOff>1328535</xdr:colOff>
      <xdr:row>3</xdr:row>
      <xdr:rowOff>425450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840EC1-89A9-3508-E880-D0AEE0414E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666750"/>
          <a:ext cx="1296785" cy="342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120650</xdr:colOff>
      <xdr:row>3</xdr:row>
      <xdr:rowOff>25400</xdr:rowOff>
    </xdr:from>
    <xdr:to>
      <xdr:col>6</xdr:col>
      <xdr:colOff>693425</xdr:colOff>
      <xdr:row>3</xdr:row>
      <xdr:rowOff>482600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FF1A8B-B292-7154-7210-DE919FE90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609600"/>
          <a:ext cx="572775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2970-D62F-443D-97C8-9C292A7878E7}">
  <dimension ref="A1:O28"/>
  <sheetViews>
    <sheetView topLeftCell="A25" zoomScaleNormal="100" workbookViewId="0">
      <selection activeCell="E28" sqref="E28"/>
    </sheetView>
  </sheetViews>
  <sheetFormatPr defaultRowHeight="14.5" x14ac:dyDescent="0.35"/>
  <cols>
    <col min="2" max="2" width="11.36328125" bestFit="1" customWidth="1"/>
    <col min="4" max="4" width="10.7265625" bestFit="1" customWidth="1"/>
    <col min="5" max="5" width="12.90625" bestFit="1" customWidth="1"/>
    <col min="6" max="6" width="19.453125" customWidth="1"/>
    <col min="7" max="7" width="11.1796875" bestFit="1" customWidth="1"/>
    <col min="8" max="8" width="4.81640625" bestFit="1" customWidth="1"/>
    <col min="9" max="9" width="10.08984375" customWidth="1"/>
    <col min="10" max="10" width="7.1796875" bestFit="1" customWidth="1"/>
    <col min="11" max="11" width="8.54296875" bestFit="1" customWidth="1"/>
    <col min="12" max="12" width="25.453125" customWidth="1"/>
    <col min="13" max="13" width="26.08984375" customWidth="1"/>
  </cols>
  <sheetData>
    <row r="1" spans="1:15" s="1" customFormat="1" ht="15" thickBot="1" x14ac:dyDescent="0.4">
      <c r="A1" s="1" t="s">
        <v>29</v>
      </c>
      <c r="C1" s="2"/>
      <c r="E1" s="1" t="s">
        <v>0</v>
      </c>
      <c r="F1" s="1" t="s">
        <v>1</v>
      </c>
      <c r="H1" s="3"/>
      <c r="I1" s="2" t="s">
        <v>16</v>
      </c>
    </row>
    <row r="2" spans="1:15" s="1" customFormat="1" ht="15" thickBot="1" x14ac:dyDescent="0.4">
      <c r="A2" s="1" t="s">
        <v>15</v>
      </c>
      <c r="C2" s="1" t="s">
        <v>2</v>
      </c>
      <c r="D2" s="1">
        <v>73503</v>
      </c>
      <c r="E2" s="4" t="s">
        <v>3</v>
      </c>
      <c r="F2" s="15"/>
      <c r="G2" s="15"/>
      <c r="H2" s="5"/>
      <c r="I2" s="6"/>
      <c r="J2" s="18" t="s">
        <v>4</v>
      </c>
      <c r="K2" s="19"/>
      <c r="M2" s="7"/>
    </row>
    <row r="3" spans="1:15" s="1" customFormat="1" ht="16" thickBot="1" x14ac:dyDescent="0.4">
      <c r="A3" s="8" t="s">
        <v>5</v>
      </c>
      <c r="B3" s="8" t="s">
        <v>6</v>
      </c>
      <c r="C3" s="8" t="s">
        <v>7</v>
      </c>
      <c r="D3" s="8" t="s">
        <v>8</v>
      </c>
      <c r="E3" s="8" t="s">
        <v>9</v>
      </c>
      <c r="F3" s="8" t="s">
        <v>17</v>
      </c>
      <c r="G3" s="8" t="s">
        <v>18</v>
      </c>
      <c r="H3" s="9"/>
      <c r="I3" s="10" t="s">
        <v>10</v>
      </c>
      <c r="J3" s="10" t="s">
        <v>11</v>
      </c>
      <c r="K3" s="10" t="s">
        <v>12</v>
      </c>
      <c r="L3" s="10" t="s">
        <v>13</v>
      </c>
      <c r="M3" s="10" t="s">
        <v>14</v>
      </c>
      <c r="O3" s="7">
        <v>46316</v>
      </c>
    </row>
    <row r="4" spans="1:15" s="1" customFormat="1" ht="40" customHeight="1" thickBot="1" x14ac:dyDescent="0.4">
      <c r="A4" s="11">
        <v>1</v>
      </c>
      <c r="B4" s="8"/>
      <c r="C4" s="12" t="s">
        <v>65</v>
      </c>
      <c r="D4" s="12" t="s">
        <v>26</v>
      </c>
      <c r="E4" s="12"/>
      <c r="F4" s="12"/>
      <c r="G4" s="12"/>
      <c r="H4" s="13">
        <v>48</v>
      </c>
      <c r="I4" s="14">
        <f>H4+10</f>
        <v>58</v>
      </c>
      <c r="J4" s="14">
        <f>I4*0.933</f>
        <v>54.114000000000004</v>
      </c>
      <c r="K4" s="14">
        <f>I4*0.13</f>
        <v>7.54</v>
      </c>
      <c r="L4" s="14"/>
      <c r="M4" s="14"/>
    </row>
    <row r="5" spans="1:15" s="1" customFormat="1" ht="40" customHeight="1" thickBot="1" x14ac:dyDescent="0.4">
      <c r="A5" s="11">
        <f>A4+1</f>
        <v>2</v>
      </c>
      <c r="B5" s="8"/>
      <c r="C5" s="12" t="s">
        <v>66</v>
      </c>
      <c r="D5" s="12" t="s">
        <v>26</v>
      </c>
      <c r="E5" s="12"/>
      <c r="F5" s="12"/>
      <c r="G5" s="12"/>
      <c r="H5" s="13">
        <v>48</v>
      </c>
      <c r="I5" s="14">
        <f>H5+10</f>
        <v>58</v>
      </c>
      <c r="J5" s="14">
        <f>I5*0.933</f>
        <v>54.114000000000004</v>
      </c>
      <c r="K5" s="14">
        <f>I5*0.13</f>
        <v>7.54</v>
      </c>
      <c r="L5" s="14"/>
      <c r="M5" s="14"/>
    </row>
    <row r="6" spans="1:15" s="1" customFormat="1" ht="40" customHeight="1" thickBot="1" x14ac:dyDescent="0.4">
      <c r="A6" s="11">
        <f t="shared" ref="A6:A27" si="0">A5+1</f>
        <v>3</v>
      </c>
      <c r="B6" s="8"/>
      <c r="C6" s="12" t="s">
        <v>48</v>
      </c>
      <c r="D6" s="12" t="s">
        <v>26</v>
      </c>
      <c r="E6" s="12"/>
      <c r="F6" s="12"/>
      <c r="G6" s="12"/>
      <c r="H6" s="13">
        <v>48</v>
      </c>
      <c r="I6" s="14">
        <f t="shared" ref="I6:I24" si="1">H6+10</f>
        <v>58</v>
      </c>
      <c r="J6" s="14">
        <f t="shared" ref="J6:J24" si="2">I6*0.933</f>
        <v>54.114000000000004</v>
      </c>
      <c r="K6" s="14">
        <f t="shared" ref="K6:K24" si="3">I6*0.13</f>
        <v>7.54</v>
      </c>
      <c r="L6" s="14"/>
      <c r="M6" s="14"/>
    </row>
    <row r="7" spans="1:15" s="1" customFormat="1" ht="40" customHeight="1" thickBot="1" x14ac:dyDescent="0.4">
      <c r="A7" s="11">
        <f t="shared" si="0"/>
        <v>4</v>
      </c>
      <c r="B7" s="8"/>
      <c r="C7" s="12" t="s">
        <v>67</v>
      </c>
      <c r="D7" s="12" t="s">
        <v>26</v>
      </c>
      <c r="E7" s="12"/>
      <c r="F7" s="12"/>
      <c r="G7" s="12"/>
      <c r="H7" s="13">
        <v>48</v>
      </c>
      <c r="I7" s="14">
        <f t="shared" si="1"/>
        <v>58</v>
      </c>
      <c r="J7" s="14">
        <f t="shared" si="2"/>
        <v>54.114000000000004</v>
      </c>
      <c r="K7" s="14">
        <f t="shared" si="3"/>
        <v>7.54</v>
      </c>
      <c r="L7" s="14"/>
      <c r="M7" s="14"/>
    </row>
    <row r="8" spans="1:15" s="1" customFormat="1" ht="40" customHeight="1" thickBot="1" x14ac:dyDescent="0.4">
      <c r="A8" s="11">
        <f t="shared" si="0"/>
        <v>5</v>
      </c>
      <c r="B8" s="8"/>
      <c r="C8" s="12" t="s">
        <v>31</v>
      </c>
      <c r="D8" s="12" t="s">
        <v>26</v>
      </c>
      <c r="E8" s="12"/>
      <c r="F8" s="12"/>
      <c r="G8" s="12"/>
      <c r="H8" s="13">
        <v>48</v>
      </c>
      <c r="I8" s="14">
        <f t="shared" si="1"/>
        <v>58</v>
      </c>
      <c r="J8" s="14">
        <f t="shared" si="2"/>
        <v>54.114000000000004</v>
      </c>
      <c r="K8" s="14">
        <f t="shared" si="3"/>
        <v>7.54</v>
      </c>
      <c r="L8" s="14"/>
      <c r="M8" s="14"/>
    </row>
    <row r="9" spans="1:15" s="1" customFormat="1" ht="40" customHeight="1" thickBot="1" x14ac:dyDescent="0.4">
      <c r="A9" s="11">
        <f t="shared" si="0"/>
        <v>6</v>
      </c>
      <c r="B9" s="8"/>
      <c r="C9" s="12" t="s">
        <v>68</v>
      </c>
      <c r="D9" s="12" t="s">
        <v>26</v>
      </c>
      <c r="E9" s="12"/>
      <c r="F9" s="12"/>
      <c r="G9" s="12"/>
      <c r="H9" s="13">
        <v>72</v>
      </c>
      <c r="I9" s="14">
        <f t="shared" si="1"/>
        <v>82</v>
      </c>
      <c r="J9" s="14">
        <f t="shared" si="2"/>
        <v>76.506</v>
      </c>
      <c r="K9" s="14">
        <f t="shared" si="3"/>
        <v>10.66</v>
      </c>
      <c r="L9" s="14"/>
      <c r="M9" s="14"/>
    </row>
    <row r="10" spans="1:15" s="1" customFormat="1" ht="40" customHeight="1" thickBot="1" x14ac:dyDescent="0.4">
      <c r="A10" s="11">
        <f t="shared" si="0"/>
        <v>7</v>
      </c>
      <c r="B10" s="8"/>
      <c r="C10" s="12" t="s">
        <v>33</v>
      </c>
      <c r="D10" s="12" t="s">
        <v>26</v>
      </c>
      <c r="E10" s="12"/>
      <c r="F10" s="12"/>
      <c r="G10" s="12"/>
      <c r="H10" s="13">
        <v>48</v>
      </c>
      <c r="I10" s="14">
        <f t="shared" si="1"/>
        <v>58</v>
      </c>
      <c r="J10" s="14">
        <f t="shared" si="2"/>
        <v>54.114000000000004</v>
      </c>
      <c r="K10" s="14">
        <f t="shared" si="3"/>
        <v>7.54</v>
      </c>
      <c r="L10" s="14"/>
      <c r="M10" s="14"/>
    </row>
    <row r="11" spans="1:15" s="1" customFormat="1" ht="40" customHeight="1" thickBot="1" x14ac:dyDescent="0.4">
      <c r="A11" s="11">
        <f t="shared" si="0"/>
        <v>8</v>
      </c>
      <c r="B11" s="8"/>
      <c r="C11" s="12" t="s">
        <v>19</v>
      </c>
      <c r="D11" s="12" t="s">
        <v>26</v>
      </c>
      <c r="E11" s="12"/>
      <c r="F11" s="12"/>
      <c r="G11" s="12"/>
      <c r="H11" s="13">
        <v>72</v>
      </c>
      <c r="I11" s="14">
        <f t="shared" si="1"/>
        <v>82</v>
      </c>
      <c r="J11" s="14">
        <f t="shared" si="2"/>
        <v>76.506</v>
      </c>
      <c r="K11" s="14">
        <f t="shared" si="3"/>
        <v>10.66</v>
      </c>
      <c r="L11" s="14"/>
      <c r="M11" s="14"/>
    </row>
    <row r="12" spans="1:15" s="1" customFormat="1" ht="40" customHeight="1" thickBot="1" x14ac:dyDescent="0.4">
      <c r="A12" s="11">
        <f t="shared" si="0"/>
        <v>9</v>
      </c>
      <c r="B12" s="8"/>
      <c r="C12" s="12" t="s">
        <v>34</v>
      </c>
      <c r="D12" s="12" t="s">
        <v>26</v>
      </c>
      <c r="E12" s="12"/>
      <c r="F12" s="12"/>
      <c r="G12" s="12"/>
      <c r="H12" s="13">
        <v>60</v>
      </c>
      <c r="I12" s="14">
        <f t="shared" si="1"/>
        <v>70</v>
      </c>
      <c r="J12" s="14">
        <f t="shared" si="2"/>
        <v>65.31</v>
      </c>
      <c r="K12" s="14">
        <f t="shared" si="3"/>
        <v>9.1</v>
      </c>
      <c r="L12" s="14"/>
      <c r="M12" s="14"/>
    </row>
    <row r="13" spans="1:15" s="1" customFormat="1" ht="40" customHeight="1" thickBot="1" x14ac:dyDescent="0.4">
      <c r="A13" s="11">
        <f t="shared" si="0"/>
        <v>10</v>
      </c>
      <c r="B13" s="8"/>
      <c r="C13" s="12" t="s">
        <v>69</v>
      </c>
      <c r="D13" s="12" t="s">
        <v>26</v>
      </c>
      <c r="E13" s="12"/>
      <c r="F13" s="12"/>
      <c r="G13" s="12"/>
      <c r="H13" s="13">
        <v>72</v>
      </c>
      <c r="I13" s="14">
        <f t="shared" si="1"/>
        <v>82</v>
      </c>
      <c r="J13" s="14">
        <f t="shared" si="2"/>
        <v>76.506</v>
      </c>
      <c r="K13" s="14">
        <f t="shared" si="3"/>
        <v>10.66</v>
      </c>
      <c r="L13" s="14"/>
      <c r="M13" s="14"/>
    </row>
    <row r="14" spans="1:15" s="1" customFormat="1" ht="40" customHeight="1" thickBot="1" x14ac:dyDescent="0.4">
      <c r="A14" s="11">
        <f t="shared" si="0"/>
        <v>11</v>
      </c>
      <c r="B14" s="8"/>
      <c r="C14" s="12" t="s">
        <v>70</v>
      </c>
      <c r="D14" s="12" t="s">
        <v>26</v>
      </c>
      <c r="E14" s="12"/>
      <c r="F14" s="12"/>
      <c r="G14" s="12"/>
      <c r="H14" s="13">
        <v>48</v>
      </c>
      <c r="I14" s="14">
        <f t="shared" si="1"/>
        <v>58</v>
      </c>
      <c r="J14" s="14">
        <f t="shared" si="2"/>
        <v>54.114000000000004</v>
      </c>
      <c r="K14" s="14">
        <f t="shared" si="3"/>
        <v>7.54</v>
      </c>
      <c r="L14" s="14"/>
      <c r="M14" s="14"/>
    </row>
    <row r="15" spans="1:15" s="1" customFormat="1" ht="40" customHeight="1" thickBot="1" x14ac:dyDescent="0.4">
      <c r="A15" s="11">
        <f t="shared" si="0"/>
        <v>12</v>
      </c>
      <c r="B15" s="8"/>
      <c r="C15" s="12" t="s">
        <v>50</v>
      </c>
      <c r="D15" s="12" t="s">
        <v>26</v>
      </c>
      <c r="E15" s="12"/>
      <c r="F15" s="12"/>
      <c r="G15" s="12"/>
      <c r="H15" s="13">
        <v>48</v>
      </c>
      <c r="I15" s="14">
        <f t="shared" si="1"/>
        <v>58</v>
      </c>
      <c r="J15" s="14">
        <f t="shared" si="2"/>
        <v>54.114000000000004</v>
      </c>
      <c r="K15" s="14">
        <f t="shared" si="3"/>
        <v>7.54</v>
      </c>
      <c r="L15" s="14"/>
      <c r="M15" s="14"/>
    </row>
    <row r="16" spans="1:15" s="1" customFormat="1" ht="40" customHeight="1" thickBot="1" x14ac:dyDescent="0.4">
      <c r="A16" s="11">
        <f t="shared" si="0"/>
        <v>13</v>
      </c>
      <c r="B16" s="8"/>
      <c r="C16" s="12" t="s">
        <v>52</v>
      </c>
      <c r="D16" s="12" t="s">
        <v>26</v>
      </c>
      <c r="E16" s="12"/>
      <c r="F16" s="12"/>
      <c r="G16" s="12"/>
      <c r="H16" s="13">
        <v>96</v>
      </c>
      <c r="I16" s="14">
        <f t="shared" si="1"/>
        <v>106</v>
      </c>
      <c r="J16" s="14">
        <f t="shared" si="2"/>
        <v>98.89800000000001</v>
      </c>
      <c r="K16" s="14">
        <f t="shared" si="3"/>
        <v>13.780000000000001</v>
      </c>
      <c r="L16" s="14"/>
      <c r="M16" s="14"/>
    </row>
    <row r="17" spans="1:13" s="1" customFormat="1" ht="40" customHeight="1" thickBot="1" x14ac:dyDescent="0.4">
      <c r="A17" s="11">
        <f t="shared" si="0"/>
        <v>14</v>
      </c>
      <c r="B17" s="8"/>
      <c r="C17" s="12" t="s">
        <v>21</v>
      </c>
      <c r="D17" s="12" t="s">
        <v>26</v>
      </c>
      <c r="E17" s="12"/>
      <c r="F17" s="12"/>
      <c r="G17" s="12"/>
      <c r="H17" s="13">
        <v>48</v>
      </c>
      <c r="I17" s="14">
        <f t="shared" si="1"/>
        <v>58</v>
      </c>
      <c r="J17" s="14">
        <f t="shared" si="2"/>
        <v>54.114000000000004</v>
      </c>
      <c r="K17" s="14">
        <f t="shared" si="3"/>
        <v>7.54</v>
      </c>
      <c r="L17" s="14"/>
      <c r="M17" s="14"/>
    </row>
    <row r="18" spans="1:13" s="1" customFormat="1" ht="40" customHeight="1" thickBot="1" x14ac:dyDescent="0.4">
      <c r="A18" s="11">
        <f t="shared" si="0"/>
        <v>15</v>
      </c>
      <c r="B18" s="8"/>
      <c r="C18" s="12" t="s">
        <v>71</v>
      </c>
      <c r="D18" s="12" t="s">
        <v>26</v>
      </c>
      <c r="E18" s="12"/>
      <c r="F18" s="12"/>
      <c r="G18" s="12"/>
      <c r="H18" s="13">
        <v>96</v>
      </c>
      <c r="I18" s="14">
        <f t="shared" si="1"/>
        <v>106</v>
      </c>
      <c r="J18" s="14">
        <f t="shared" si="2"/>
        <v>98.89800000000001</v>
      </c>
      <c r="K18" s="14">
        <f t="shared" si="3"/>
        <v>13.780000000000001</v>
      </c>
      <c r="L18" s="14"/>
      <c r="M18" s="14"/>
    </row>
    <row r="19" spans="1:13" s="1" customFormat="1" ht="40" customHeight="1" thickBot="1" x14ac:dyDescent="0.4">
      <c r="A19" s="11">
        <f t="shared" si="0"/>
        <v>16</v>
      </c>
      <c r="B19" s="8"/>
      <c r="C19" s="12" t="s">
        <v>72</v>
      </c>
      <c r="D19" s="12" t="s">
        <v>26</v>
      </c>
      <c r="E19" s="12"/>
      <c r="F19" s="12"/>
      <c r="G19" s="12"/>
      <c r="H19" s="13">
        <v>72</v>
      </c>
      <c r="I19" s="14">
        <f t="shared" si="1"/>
        <v>82</v>
      </c>
      <c r="J19" s="14">
        <f t="shared" si="2"/>
        <v>76.506</v>
      </c>
      <c r="K19" s="14">
        <f t="shared" si="3"/>
        <v>10.66</v>
      </c>
      <c r="L19" s="14"/>
      <c r="M19" s="14"/>
    </row>
    <row r="20" spans="1:13" s="1" customFormat="1" ht="40" customHeight="1" thickBot="1" x14ac:dyDescent="0.4">
      <c r="A20" s="11">
        <f t="shared" si="0"/>
        <v>17</v>
      </c>
      <c r="B20" s="8"/>
      <c r="C20" s="12" t="s">
        <v>73</v>
      </c>
      <c r="D20" s="12" t="s">
        <v>26</v>
      </c>
      <c r="E20" s="12"/>
      <c r="F20" s="12"/>
      <c r="G20" s="12"/>
      <c r="H20" s="13">
        <v>72</v>
      </c>
      <c r="I20" s="14">
        <f t="shared" si="1"/>
        <v>82</v>
      </c>
      <c r="J20" s="14">
        <f t="shared" si="2"/>
        <v>76.506</v>
      </c>
      <c r="K20" s="14">
        <f t="shared" si="3"/>
        <v>10.66</v>
      </c>
      <c r="L20" s="14"/>
      <c r="M20" s="14"/>
    </row>
    <row r="21" spans="1:13" s="1" customFormat="1" ht="40" customHeight="1" thickBot="1" x14ac:dyDescent="0.4">
      <c r="A21" s="11">
        <f t="shared" si="0"/>
        <v>18</v>
      </c>
      <c r="B21" s="8"/>
      <c r="C21" s="12" t="s">
        <v>74</v>
      </c>
      <c r="D21" s="12" t="s">
        <v>26</v>
      </c>
      <c r="E21" s="12"/>
      <c r="F21" s="12"/>
      <c r="G21" s="12"/>
      <c r="H21" s="13">
        <v>72</v>
      </c>
      <c r="I21" s="14">
        <f t="shared" si="1"/>
        <v>82</v>
      </c>
      <c r="J21" s="14">
        <f t="shared" si="2"/>
        <v>76.506</v>
      </c>
      <c r="K21" s="14">
        <f t="shared" si="3"/>
        <v>10.66</v>
      </c>
      <c r="L21" s="14"/>
      <c r="M21" s="14"/>
    </row>
    <row r="22" spans="1:13" s="1" customFormat="1" ht="40" customHeight="1" thickBot="1" x14ac:dyDescent="0.4">
      <c r="A22" s="11">
        <f t="shared" si="0"/>
        <v>19</v>
      </c>
      <c r="B22" s="8"/>
      <c r="C22" s="12" t="s">
        <v>75</v>
      </c>
      <c r="D22" s="12" t="s">
        <v>26</v>
      </c>
      <c r="E22" s="12"/>
      <c r="F22" s="12"/>
      <c r="G22" s="12"/>
      <c r="H22" s="13">
        <v>72</v>
      </c>
      <c r="I22" s="14">
        <f t="shared" si="1"/>
        <v>82</v>
      </c>
      <c r="J22" s="14">
        <f t="shared" si="2"/>
        <v>76.506</v>
      </c>
      <c r="K22" s="14">
        <f t="shared" si="3"/>
        <v>10.66</v>
      </c>
      <c r="L22" s="14"/>
      <c r="M22" s="14"/>
    </row>
    <row r="23" spans="1:13" s="1" customFormat="1" ht="40" customHeight="1" thickBot="1" x14ac:dyDescent="0.4">
      <c r="A23" s="11">
        <f t="shared" si="0"/>
        <v>20</v>
      </c>
      <c r="B23" s="8"/>
      <c r="C23" s="12" t="s">
        <v>76</v>
      </c>
      <c r="D23" s="12" t="s">
        <v>26</v>
      </c>
      <c r="E23" s="12"/>
      <c r="F23" s="12"/>
      <c r="G23" s="12"/>
      <c r="H23" s="13">
        <v>48</v>
      </c>
      <c r="I23" s="14">
        <f t="shared" si="1"/>
        <v>58</v>
      </c>
      <c r="J23" s="14">
        <f t="shared" si="2"/>
        <v>54.114000000000004</v>
      </c>
      <c r="K23" s="14">
        <f t="shared" si="3"/>
        <v>7.54</v>
      </c>
      <c r="L23" s="14"/>
      <c r="M23" s="14"/>
    </row>
    <row r="24" spans="1:13" s="1" customFormat="1" ht="40" customHeight="1" thickBot="1" x14ac:dyDescent="0.4">
      <c r="A24" s="11">
        <f t="shared" si="0"/>
        <v>21</v>
      </c>
      <c r="B24" s="8"/>
      <c r="C24" s="12" t="s">
        <v>24</v>
      </c>
      <c r="D24" s="12" t="s">
        <v>26</v>
      </c>
      <c r="E24" s="12"/>
      <c r="F24" s="12"/>
      <c r="G24" s="12"/>
      <c r="H24" s="13">
        <v>96</v>
      </c>
      <c r="I24" s="14">
        <f t="shared" si="1"/>
        <v>106</v>
      </c>
      <c r="J24" s="14">
        <f t="shared" si="2"/>
        <v>98.89800000000001</v>
      </c>
      <c r="K24" s="14">
        <f t="shared" si="3"/>
        <v>13.780000000000001</v>
      </c>
      <c r="L24" s="14"/>
      <c r="M24" s="14"/>
    </row>
    <row r="25" spans="1:13" s="1" customFormat="1" ht="40" customHeight="1" thickBot="1" x14ac:dyDescent="0.4">
      <c r="A25" s="11">
        <f t="shared" si="0"/>
        <v>22</v>
      </c>
      <c r="B25" s="8"/>
      <c r="C25" s="12" t="s">
        <v>42</v>
      </c>
      <c r="D25" s="12" t="s">
        <v>26</v>
      </c>
      <c r="E25" s="12"/>
      <c r="F25" s="12"/>
      <c r="G25" s="12"/>
      <c r="H25" s="13">
        <v>72</v>
      </c>
      <c r="I25" s="14">
        <f t="shared" ref="I25:I27" si="4">H25+10</f>
        <v>82</v>
      </c>
      <c r="J25" s="14">
        <f t="shared" ref="J25:J27" si="5">I25*0.933</f>
        <v>76.506</v>
      </c>
      <c r="K25" s="14">
        <f t="shared" ref="K25:K27" si="6">I25*0.13</f>
        <v>10.66</v>
      </c>
      <c r="L25" s="14"/>
      <c r="M25" s="14"/>
    </row>
    <row r="26" spans="1:13" s="1" customFormat="1" ht="40" customHeight="1" thickBot="1" x14ac:dyDescent="0.4">
      <c r="A26" s="11">
        <f t="shared" si="0"/>
        <v>23</v>
      </c>
      <c r="B26" s="8"/>
      <c r="C26" s="12" t="s">
        <v>53</v>
      </c>
      <c r="D26" s="12" t="s">
        <v>26</v>
      </c>
      <c r="E26" s="12"/>
      <c r="F26" s="12"/>
      <c r="G26" s="12"/>
      <c r="H26" s="13">
        <v>48</v>
      </c>
      <c r="I26" s="14">
        <f t="shared" si="4"/>
        <v>58</v>
      </c>
      <c r="J26" s="14">
        <f t="shared" si="5"/>
        <v>54.114000000000004</v>
      </c>
      <c r="K26" s="14">
        <f t="shared" si="6"/>
        <v>7.54</v>
      </c>
      <c r="L26" s="14"/>
      <c r="M26" s="14"/>
    </row>
    <row r="27" spans="1:13" s="1" customFormat="1" ht="40" customHeight="1" thickBot="1" x14ac:dyDescent="0.4">
      <c r="A27" s="11">
        <f t="shared" si="0"/>
        <v>24</v>
      </c>
      <c r="B27" s="8"/>
      <c r="C27" s="12" t="s">
        <v>77</v>
      </c>
      <c r="D27" s="12" t="s">
        <v>26</v>
      </c>
      <c r="E27" s="12"/>
      <c r="F27" s="12"/>
      <c r="G27" s="12"/>
      <c r="H27" s="13">
        <v>48</v>
      </c>
      <c r="I27" s="14">
        <f t="shared" si="4"/>
        <v>58</v>
      </c>
      <c r="J27" s="14">
        <f t="shared" si="5"/>
        <v>54.114000000000004</v>
      </c>
      <c r="K27" s="14">
        <f t="shared" si="6"/>
        <v>7.54</v>
      </c>
      <c r="L27" s="14"/>
      <c r="M27" s="14"/>
    </row>
    <row r="28" spans="1:13" x14ac:dyDescent="0.35">
      <c r="H28">
        <f>SUM(H4:H27)</f>
        <v>1500</v>
      </c>
      <c r="I28">
        <f>SUM(I4:I27)</f>
        <v>1740</v>
      </c>
    </row>
  </sheetData>
  <mergeCells count="1">
    <mergeCell ref="J2:K2"/>
  </mergeCells>
  <pageMargins left="0.45" right="0.2" top="0.75" bottom="0.75" header="0.3" footer="0.3"/>
  <pageSetup scale="91" orientation="landscape" r:id="rId1"/>
  <headerFooter>
    <oddHeader>&amp;A</oddHeader>
    <oddFooter>Page &amp;P of &amp;N</oddFooter>
  </headerFooter>
  <colBreaks count="1" manualBreakCount="1">
    <brk id="13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EF80-150C-4175-8D3E-67B90058B2D4}">
  <dimension ref="A1:O5"/>
  <sheetViews>
    <sheetView workbookViewId="0">
      <selection activeCell="F10" sqref="F10"/>
    </sheetView>
  </sheetViews>
  <sheetFormatPr defaultRowHeight="14.5" x14ac:dyDescent="0.35"/>
  <cols>
    <col min="2" max="2" width="11.36328125" bestFit="1" customWidth="1"/>
    <col min="4" max="4" width="10.7265625" bestFit="1" customWidth="1"/>
    <col min="5" max="5" width="12.90625" bestFit="1" customWidth="1"/>
    <col min="6" max="6" width="19.453125" customWidth="1"/>
    <col min="7" max="7" width="10.90625" customWidth="1"/>
    <col min="8" max="8" width="3.81640625" hidden="1" customWidth="1"/>
    <col min="9" max="9" width="10.08984375" customWidth="1"/>
    <col min="10" max="10" width="7.1796875" hidden="1" customWidth="1"/>
    <col min="11" max="11" width="8.54296875" hidden="1" customWidth="1"/>
    <col min="12" max="12" width="25.453125" customWidth="1"/>
    <col min="13" max="13" width="26.08984375" customWidth="1"/>
  </cols>
  <sheetData>
    <row r="1" spans="1:15" s="1" customFormat="1" ht="15" thickBot="1" x14ac:dyDescent="0.4">
      <c r="A1" s="1" t="s">
        <v>64</v>
      </c>
      <c r="C1" s="2"/>
      <c r="E1" s="1" t="s">
        <v>0</v>
      </c>
      <c r="F1" s="1" t="s">
        <v>59</v>
      </c>
      <c r="H1" s="3"/>
      <c r="I1" s="2"/>
    </row>
    <row r="2" spans="1:15" s="1" customFormat="1" ht="15" thickBot="1" x14ac:dyDescent="0.4">
      <c r="A2" s="1" t="s">
        <v>15</v>
      </c>
      <c r="C2" s="1" t="s">
        <v>2</v>
      </c>
      <c r="D2" s="1">
        <v>73150</v>
      </c>
      <c r="E2" s="4" t="s">
        <v>3</v>
      </c>
      <c r="F2" s="15"/>
      <c r="G2" s="15"/>
      <c r="H2" s="5"/>
      <c r="I2" s="6"/>
      <c r="J2" s="18" t="s">
        <v>4</v>
      </c>
      <c r="K2" s="19"/>
      <c r="M2" s="7"/>
    </row>
    <row r="3" spans="1:15" s="1" customFormat="1" ht="16" thickBot="1" x14ac:dyDescent="0.4">
      <c r="A3" s="8" t="s">
        <v>5</v>
      </c>
      <c r="B3" s="8" t="s">
        <v>6</v>
      </c>
      <c r="C3" s="8" t="s">
        <v>7</v>
      </c>
      <c r="D3" s="8" t="s">
        <v>8</v>
      </c>
      <c r="E3" s="8" t="s">
        <v>9</v>
      </c>
      <c r="F3" s="8" t="s">
        <v>17</v>
      </c>
      <c r="G3" s="8" t="s">
        <v>18</v>
      </c>
      <c r="H3" s="9"/>
      <c r="I3" s="10" t="s">
        <v>10</v>
      </c>
      <c r="J3" s="10" t="s">
        <v>11</v>
      </c>
      <c r="K3" s="10" t="s">
        <v>12</v>
      </c>
      <c r="L3" s="10" t="s">
        <v>13</v>
      </c>
      <c r="M3" s="10" t="s">
        <v>14</v>
      </c>
      <c r="O3" s="7"/>
    </row>
    <row r="4" spans="1:15" s="1" customFormat="1" ht="40" customHeight="1" thickBot="1" x14ac:dyDescent="0.4">
      <c r="A4" s="11">
        <v>1</v>
      </c>
      <c r="B4" s="8"/>
      <c r="C4" s="12" t="s">
        <v>60</v>
      </c>
      <c r="D4" s="12" t="s">
        <v>61</v>
      </c>
      <c r="E4" s="12" t="s">
        <v>62</v>
      </c>
      <c r="F4" s="12" t="s">
        <v>63</v>
      </c>
      <c r="G4" s="12"/>
      <c r="H4" s="13">
        <v>180</v>
      </c>
      <c r="I4" s="14">
        <f>H4+6</f>
        <v>186</v>
      </c>
      <c r="J4" s="14">
        <f>I4*0.933</f>
        <v>173.53800000000001</v>
      </c>
      <c r="K4" s="14">
        <f>I4*0.13</f>
        <v>24.18</v>
      </c>
      <c r="L4" s="14"/>
      <c r="M4" s="14"/>
    </row>
    <row r="5" spans="1:15" x14ac:dyDescent="0.35">
      <c r="F5" s="16"/>
      <c r="G5" s="16"/>
      <c r="H5">
        <f>SUM(H4:H4)</f>
        <v>180</v>
      </c>
      <c r="I5" s="17">
        <f>SUM(I4:I4)</f>
        <v>186</v>
      </c>
    </row>
  </sheetData>
  <mergeCells count="1">
    <mergeCell ref="J2:K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147F4-E408-4500-A478-69C109AB2C24}">
  <dimension ref="A1:O25"/>
  <sheetViews>
    <sheetView tabSelected="1" zoomScaleNormal="100" workbookViewId="0">
      <selection activeCell="D5" sqref="D5"/>
    </sheetView>
  </sheetViews>
  <sheetFormatPr defaultRowHeight="14.5" x14ac:dyDescent="0.35"/>
  <cols>
    <col min="2" max="2" width="11.36328125" bestFit="1" customWidth="1"/>
    <col min="4" max="4" width="10.7265625" bestFit="1" customWidth="1"/>
    <col min="5" max="5" width="12.90625" bestFit="1" customWidth="1"/>
    <col min="6" max="6" width="19.453125" customWidth="1"/>
    <col min="7" max="7" width="11.1796875" bestFit="1" customWidth="1"/>
    <col min="8" max="8" width="4.81640625" bestFit="1" customWidth="1"/>
    <col min="9" max="9" width="10.08984375" customWidth="1"/>
    <col min="10" max="10" width="7.1796875" bestFit="1" customWidth="1"/>
    <col min="11" max="11" width="8.54296875" bestFit="1" customWidth="1"/>
    <col min="12" max="12" width="25.453125" customWidth="1"/>
    <col min="13" max="13" width="26.08984375" customWidth="1"/>
  </cols>
  <sheetData>
    <row r="1" spans="1:15" s="1" customFormat="1" ht="15" thickBot="1" x14ac:dyDescent="0.4">
      <c r="A1" s="1" t="s">
        <v>29</v>
      </c>
      <c r="C1" s="2"/>
      <c r="E1" s="1" t="s">
        <v>0</v>
      </c>
      <c r="F1" s="1" t="s">
        <v>1</v>
      </c>
      <c r="H1" s="3"/>
      <c r="I1" s="2" t="s">
        <v>16</v>
      </c>
    </row>
    <row r="2" spans="1:15" s="1" customFormat="1" ht="15" thickBot="1" x14ac:dyDescent="0.4">
      <c r="A2" s="1" t="s">
        <v>15</v>
      </c>
      <c r="C2" s="1" t="s">
        <v>2</v>
      </c>
      <c r="D2" s="1">
        <v>72823</v>
      </c>
      <c r="E2" s="4" t="s">
        <v>3</v>
      </c>
      <c r="F2" s="15"/>
      <c r="G2" s="15"/>
      <c r="H2" s="5"/>
      <c r="I2" s="6"/>
      <c r="J2" s="18" t="s">
        <v>4</v>
      </c>
      <c r="K2" s="19"/>
      <c r="M2" s="7"/>
    </row>
    <row r="3" spans="1:15" s="1" customFormat="1" ht="16" thickBot="1" x14ac:dyDescent="0.4">
      <c r="A3" s="8" t="s">
        <v>5</v>
      </c>
      <c r="B3" s="8" t="s">
        <v>6</v>
      </c>
      <c r="C3" s="8" t="s">
        <v>7</v>
      </c>
      <c r="D3" s="8" t="s">
        <v>8</v>
      </c>
      <c r="E3" s="8" t="s">
        <v>9</v>
      </c>
      <c r="F3" s="8" t="s">
        <v>17</v>
      </c>
      <c r="G3" s="8" t="s">
        <v>18</v>
      </c>
      <c r="H3" s="9"/>
      <c r="I3" s="10" t="s">
        <v>10</v>
      </c>
      <c r="J3" s="10" t="s">
        <v>11</v>
      </c>
      <c r="K3" s="10" t="s">
        <v>12</v>
      </c>
      <c r="L3" s="10" t="s">
        <v>13</v>
      </c>
      <c r="M3" s="10" t="s">
        <v>14</v>
      </c>
      <c r="O3" s="7">
        <v>46316</v>
      </c>
    </row>
    <row r="4" spans="1:15" s="1" customFormat="1" ht="40" customHeight="1" thickBot="1" x14ac:dyDescent="0.4">
      <c r="A4" s="11">
        <v>1</v>
      </c>
      <c r="B4" s="8"/>
      <c r="C4" s="12" t="s">
        <v>30</v>
      </c>
      <c r="D4" s="12" t="s">
        <v>79</v>
      </c>
      <c r="E4" s="12" t="s">
        <v>78</v>
      </c>
      <c r="F4" s="12"/>
      <c r="G4" s="12"/>
      <c r="H4" s="13">
        <v>60</v>
      </c>
      <c r="I4" s="14">
        <f>H4+10</f>
        <v>70</v>
      </c>
      <c r="J4" s="14">
        <f>I4*0.933</f>
        <v>65.31</v>
      </c>
      <c r="K4" s="14">
        <f>I4*0.13</f>
        <v>9.1</v>
      </c>
      <c r="L4" s="14"/>
      <c r="M4" s="14"/>
    </row>
    <row r="5" spans="1:15" s="1" customFormat="1" ht="40" customHeight="1" thickBot="1" x14ac:dyDescent="0.4">
      <c r="A5" s="11">
        <f>A4+1</f>
        <v>2</v>
      </c>
      <c r="B5" s="8"/>
      <c r="C5" s="12" t="s">
        <v>31</v>
      </c>
      <c r="D5" s="12" t="s">
        <v>26</v>
      </c>
      <c r="E5" s="12"/>
      <c r="F5" s="12"/>
      <c r="G5" s="12"/>
      <c r="H5" s="13">
        <v>59</v>
      </c>
      <c r="I5" s="14">
        <f>H5+10</f>
        <v>69</v>
      </c>
      <c r="J5" s="14">
        <f>I5*0.933</f>
        <v>64.37700000000001</v>
      </c>
      <c r="K5" s="14">
        <f>I5*0.13</f>
        <v>8.9700000000000006</v>
      </c>
      <c r="L5" s="14"/>
      <c r="M5" s="14"/>
    </row>
    <row r="6" spans="1:15" s="1" customFormat="1" ht="40" customHeight="1" thickBot="1" x14ac:dyDescent="0.4">
      <c r="A6" s="11">
        <f t="shared" ref="A6:A24" si="0">A5+1</f>
        <v>3</v>
      </c>
      <c r="B6" s="8"/>
      <c r="C6" s="12" t="s">
        <v>32</v>
      </c>
      <c r="D6" s="12" t="s">
        <v>26</v>
      </c>
      <c r="E6" s="12"/>
      <c r="F6" s="12"/>
      <c r="G6" s="12"/>
      <c r="H6" s="13">
        <v>48</v>
      </c>
      <c r="I6" s="14">
        <f t="shared" ref="I6:I24" si="1">H6+10</f>
        <v>58</v>
      </c>
      <c r="J6" s="14">
        <f t="shared" ref="J6:J24" si="2">I6*0.933</f>
        <v>54.114000000000004</v>
      </c>
      <c r="K6" s="14">
        <f t="shared" ref="K6:K24" si="3">I6*0.13</f>
        <v>7.54</v>
      </c>
      <c r="L6" s="14"/>
      <c r="M6" s="14"/>
    </row>
    <row r="7" spans="1:15" s="1" customFormat="1" ht="40" customHeight="1" thickBot="1" x14ac:dyDescent="0.4">
      <c r="A7" s="11">
        <f t="shared" si="0"/>
        <v>4</v>
      </c>
      <c r="B7" s="8"/>
      <c r="C7" s="12" t="s">
        <v>33</v>
      </c>
      <c r="D7" s="12" t="s">
        <v>26</v>
      </c>
      <c r="E7" s="12"/>
      <c r="F7" s="12"/>
      <c r="G7" s="12"/>
      <c r="H7" s="13">
        <v>95</v>
      </c>
      <c r="I7" s="14">
        <f t="shared" si="1"/>
        <v>105</v>
      </c>
      <c r="J7" s="14">
        <f t="shared" si="2"/>
        <v>97.965000000000003</v>
      </c>
      <c r="K7" s="14">
        <f t="shared" si="3"/>
        <v>13.65</v>
      </c>
      <c r="L7" s="14"/>
      <c r="M7" s="14"/>
    </row>
    <row r="8" spans="1:15" s="1" customFormat="1" ht="40" customHeight="1" thickBot="1" x14ac:dyDescent="0.4">
      <c r="A8" s="11">
        <f t="shared" si="0"/>
        <v>5</v>
      </c>
      <c r="B8" s="8"/>
      <c r="C8" s="12" t="s">
        <v>34</v>
      </c>
      <c r="D8" s="12" t="s">
        <v>26</v>
      </c>
      <c r="E8" s="12"/>
      <c r="F8" s="12"/>
      <c r="G8" s="12"/>
      <c r="H8" s="13">
        <v>48</v>
      </c>
      <c r="I8" s="14">
        <f t="shared" si="1"/>
        <v>58</v>
      </c>
      <c r="J8" s="14">
        <f t="shared" si="2"/>
        <v>54.114000000000004</v>
      </c>
      <c r="K8" s="14">
        <f t="shared" si="3"/>
        <v>7.54</v>
      </c>
      <c r="L8" s="14"/>
      <c r="M8" s="14"/>
    </row>
    <row r="9" spans="1:15" s="1" customFormat="1" ht="40" customHeight="1" thickBot="1" x14ac:dyDescent="0.4">
      <c r="A9" s="11">
        <f t="shared" si="0"/>
        <v>6</v>
      </c>
      <c r="B9" s="8"/>
      <c r="C9" s="12" t="s">
        <v>35</v>
      </c>
      <c r="D9" s="12" t="s">
        <v>26</v>
      </c>
      <c r="E9" s="12"/>
      <c r="F9" s="12"/>
      <c r="G9" s="12"/>
      <c r="H9" s="13">
        <v>96</v>
      </c>
      <c r="I9" s="14">
        <f t="shared" si="1"/>
        <v>106</v>
      </c>
      <c r="J9" s="14">
        <f t="shared" si="2"/>
        <v>98.89800000000001</v>
      </c>
      <c r="K9" s="14">
        <f t="shared" si="3"/>
        <v>13.780000000000001</v>
      </c>
      <c r="L9" s="14"/>
      <c r="M9" s="14"/>
    </row>
    <row r="10" spans="1:15" s="1" customFormat="1" ht="40" customHeight="1" thickBot="1" x14ac:dyDescent="0.4">
      <c r="A10" s="11">
        <f t="shared" si="0"/>
        <v>7</v>
      </c>
      <c r="B10" s="8"/>
      <c r="C10" s="12" t="s">
        <v>36</v>
      </c>
      <c r="D10" s="12" t="s">
        <v>26</v>
      </c>
      <c r="E10" s="12"/>
      <c r="F10" s="12"/>
      <c r="G10" s="12"/>
      <c r="H10" s="13">
        <v>48</v>
      </c>
      <c r="I10" s="14">
        <f t="shared" si="1"/>
        <v>58</v>
      </c>
      <c r="J10" s="14">
        <f t="shared" si="2"/>
        <v>54.114000000000004</v>
      </c>
      <c r="K10" s="14">
        <f t="shared" si="3"/>
        <v>7.54</v>
      </c>
      <c r="L10" s="14"/>
      <c r="M10" s="14"/>
    </row>
    <row r="11" spans="1:15" s="1" customFormat="1" ht="40" customHeight="1" thickBot="1" x14ac:dyDescent="0.4">
      <c r="A11" s="11">
        <f t="shared" si="0"/>
        <v>8</v>
      </c>
      <c r="B11" s="8"/>
      <c r="C11" s="12" t="s">
        <v>21</v>
      </c>
      <c r="D11" s="12" t="s">
        <v>26</v>
      </c>
      <c r="E11" s="12"/>
      <c r="F11" s="12"/>
      <c r="G11" s="12"/>
      <c r="H11" s="13">
        <v>180</v>
      </c>
      <c r="I11" s="14">
        <f t="shared" si="1"/>
        <v>190</v>
      </c>
      <c r="J11" s="14">
        <f t="shared" si="2"/>
        <v>177.27</v>
      </c>
      <c r="K11" s="14">
        <f t="shared" si="3"/>
        <v>24.7</v>
      </c>
      <c r="L11" s="14"/>
      <c r="M11" s="14"/>
    </row>
    <row r="12" spans="1:15" s="1" customFormat="1" ht="40" customHeight="1" thickBot="1" x14ac:dyDescent="0.4">
      <c r="A12" s="11">
        <f t="shared" si="0"/>
        <v>9</v>
      </c>
      <c r="B12" s="8"/>
      <c r="C12" s="12" t="s">
        <v>37</v>
      </c>
      <c r="D12" s="12" t="s">
        <v>26</v>
      </c>
      <c r="E12" s="12"/>
      <c r="F12" s="12"/>
      <c r="G12" s="12"/>
      <c r="H12" s="13">
        <v>60</v>
      </c>
      <c r="I12" s="14">
        <f t="shared" si="1"/>
        <v>70</v>
      </c>
      <c r="J12" s="14">
        <f t="shared" si="2"/>
        <v>65.31</v>
      </c>
      <c r="K12" s="14">
        <f t="shared" si="3"/>
        <v>9.1</v>
      </c>
      <c r="L12" s="14"/>
      <c r="M12" s="14"/>
    </row>
    <row r="13" spans="1:15" s="1" customFormat="1" ht="40" customHeight="1" thickBot="1" x14ac:dyDescent="0.4">
      <c r="A13" s="11">
        <f t="shared" si="0"/>
        <v>10</v>
      </c>
      <c r="B13" s="8"/>
      <c r="C13" s="12" t="s">
        <v>38</v>
      </c>
      <c r="D13" s="12" t="s">
        <v>26</v>
      </c>
      <c r="E13" s="12"/>
      <c r="F13" s="12"/>
      <c r="G13" s="12"/>
      <c r="H13" s="13">
        <v>120</v>
      </c>
      <c r="I13" s="14">
        <f t="shared" si="1"/>
        <v>130</v>
      </c>
      <c r="J13" s="14">
        <f t="shared" si="2"/>
        <v>121.29</v>
      </c>
      <c r="K13" s="14">
        <f t="shared" si="3"/>
        <v>16.900000000000002</v>
      </c>
      <c r="L13" s="14"/>
      <c r="M13" s="14"/>
    </row>
    <row r="14" spans="1:15" s="1" customFormat="1" ht="40" customHeight="1" thickBot="1" x14ac:dyDescent="0.4">
      <c r="A14" s="11">
        <f t="shared" si="0"/>
        <v>11</v>
      </c>
      <c r="B14" s="8"/>
      <c r="C14" s="12" t="s">
        <v>39</v>
      </c>
      <c r="D14" s="12" t="s">
        <v>26</v>
      </c>
      <c r="E14" s="12"/>
      <c r="F14" s="12"/>
      <c r="G14" s="12"/>
      <c r="H14" s="13">
        <v>49</v>
      </c>
      <c r="I14" s="14">
        <f t="shared" si="1"/>
        <v>59</v>
      </c>
      <c r="J14" s="14">
        <f t="shared" si="2"/>
        <v>55.047000000000004</v>
      </c>
      <c r="K14" s="14">
        <f t="shared" si="3"/>
        <v>7.67</v>
      </c>
      <c r="L14" s="14"/>
      <c r="M14" s="14"/>
    </row>
    <row r="15" spans="1:15" s="1" customFormat="1" ht="40" customHeight="1" thickBot="1" x14ac:dyDescent="0.4">
      <c r="A15" s="11">
        <f t="shared" si="0"/>
        <v>12</v>
      </c>
      <c r="B15" s="8"/>
      <c r="C15" s="12" t="s">
        <v>28</v>
      </c>
      <c r="D15" s="12" t="s">
        <v>26</v>
      </c>
      <c r="E15" s="12"/>
      <c r="F15" s="12"/>
      <c r="G15" s="12"/>
      <c r="H15" s="13">
        <v>145</v>
      </c>
      <c r="I15" s="14">
        <f t="shared" si="1"/>
        <v>155</v>
      </c>
      <c r="J15" s="14">
        <f t="shared" si="2"/>
        <v>144.61500000000001</v>
      </c>
      <c r="K15" s="14">
        <f t="shared" si="3"/>
        <v>20.150000000000002</v>
      </c>
      <c r="L15" s="14"/>
      <c r="M15" s="14"/>
    </row>
    <row r="16" spans="1:15" s="1" customFormat="1" ht="40" customHeight="1" thickBot="1" x14ac:dyDescent="0.4">
      <c r="A16" s="11">
        <f t="shared" si="0"/>
        <v>13</v>
      </c>
      <c r="B16" s="8"/>
      <c r="C16" s="12" t="s">
        <v>23</v>
      </c>
      <c r="D16" s="12" t="s">
        <v>26</v>
      </c>
      <c r="E16" s="12"/>
      <c r="F16" s="12"/>
      <c r="G16" s="12"/>
      <c r="H16" s="13">
        <v>144</v>
      </c>
      <c r="I16" s="14">
        <f t="shared" si="1"/>
        <v>154</v>
      </c>
      <c r="J16" s="14">
        <f t="shared" si="2"/>
        <v>143.68200000000002</v>
      </c>
      <c r="K16" s="14">
        <f t="shared" si="3"/>
        <v>20.02</v>
      </c>
      <c r="L16" s="14"/>
      <c r="M16" s="14"/>
    </row>
    <row r="17" spans="1:13" s="1" customFormat="1" ht="40" customHeight="1" thickBot="1" x14ac:dyDescent="0.4">
      <c r="A17" s="11">
        <f t="shared" si="0"/>
        <v>14</v>
      </c>
      <c r="B17" s="8"/>
      <c r="C17" s="12" t="s">
        <v>40</v>
      </c>
      <c r="D17" s="12" t="s">
        <v>26</v>
      </c>
      <c r="E17" s="12"/>
      <c r="F17" s="12"/>
      <c r="G17" s="12"/>
      <c r="H17" s="13">
        <v>181</v>
      </c>
      <c r="I17" s="14">
        <f t="shared" si="1"/>
        <v>191</v>
      </c>
      <c r="J17" s="14">
        <f t="shared" si="2"/>
        <v>178.203</v>
      </c>
      <c r="K17" s="14">
        <f t="shared" si="3"/>
        <v>24.830000000000002</v>
      </c>
      <c r="L17" s="14"/>
      <c r="M17" s="14"/>
    </row>
    <row r="18" spans="1:13" s="1" customFormat="1" ht="40" customHeight="1" thickBot="1" x14ac:dyDescent="0.4">
      <c r="A18" s="11">
        <f t="shared" si="0"/>
        <v>15</v>
      </c>
      <c r="B18" s="8"/>
      <c r="C18" s="12" t="s">
        <v>41</v>
      </c>
      <c r="D18" s="12" t="s">
        <v>26</v>
      </c>
      <c r="E18" s="12"/>
      <c r="F18" s="12"/>
      <c r="G18" s="12"/>
      <c r="H18" s="13">
        <v>48</v>
      </c>
      <c r="I18" s="14">
        <f t="shared" si="1"/>
        <v>58</v>
      </c>
      <c r="J18" s="14">
        <f t="shared" si="2"/>
        <v>54.114000000000004</v>
      </c>
      <c r="K18" s="14">
        <f t="shared" si="3"/>
        <v>7.54</v>
      </c>
      <c r="L18" s="14"/>
      <c r="M18" s="14"/>
    </row>
    <row r="19" spans="1:13" s="1" customFormat="1" ht="40" customHeight="1" thickBot="1" x14ac:dyDescent="0.4">
      <c r="A19" s="11">
        <f t="shared" si="0"/>
        <v>16</v>
      </c>
      <c r="B19" s="8"/>
      <c r="C19" s="12" t="s">
        <v>24</v>
      </c>
      <c r="D19" s="12" t="s">
        <v>26</v>
      </c>
      <c r="E19" s="12"/>
      <c r="F19" s="12"/>
      <c r="G19" s="12"/>
      <c r="H19" s="13">
        <v>180</v>
      </c>
      <c r="I19" s="14">
        <f t="shared" si="1"/>
        <v>190</v>
      </c>
      <c r="J19" s="14">
        <f t="shared" si="2"/>
        <v>177.27</v>
      </c>
      <c r="K19" s="14">
        <f t="shared" si="3"/>
        <v>24.7</v>
      </c>
      <c r="L19" s="14"/>
      <c r="M19" s="14"/>
    </row>
    <row r="20" spans="1:13" s="1" customFormat="1" ht="40" customHeight="1" thickBot="1" x14ac:dyDescent="0.4">
      <c r="A20" s="11">
        <f t="shared" si="0"/>
        <v>17</v>
      </c>
      <c r="B20" s="8"/>
      <c r="C20" s="12" t="s">
        <v>42</v>
      </c>
      <c r="D20" s="12" t="s">
        <v>26</v>
      </c>
      <c r="E20" s="12"/>
      <c r="F20" s="12"/>
      <c r="G20" s="12"/>
      <c r="H20" s="13">
        <v>48</v>
      </c>
      <c r="I20" s="14">
        <f t="shared" si="1"/>
        <v>58</v>
      </c>
      <c r="J20" s="14">
        <f t="shared" si="2"/>
        <v>54.114000000000004</v>
      </c>
      <c r="K20" s="14">
        <f t="shared" si="3"/>
        <v>7.54</v>
      </c>
      <c r="L20" s="14"/>
      <c r="M20" s="14"/>
    </row>
    <row r="21" spans="1:13" s="1" customFormat="1" ht="40" customHeight="1" thickBot="1" x14ac:dyDescent="0.4">
      <c r="A21" s="11">
        <f t="shared" si="0"/>
        <v>18</v>
      </c>
      <c r="B21" s="8"/>
      <c r="C21" s="12" t="s">
        <v>43</v>
      </c>
      <c r="D21" s="12" t="s">
        <v>26</v>
      </c>
      <c r="E21" s="12"/>
      <c r="F21" s="12"/>
      <c r="G21" s="12"/>
      <c r="H21" s="13">
        <v>108</v>
      </c>
      <c r="I21" s="14">
        <f t="shared" si="1"/>
        <v>118</v>
      </c>
      <c r="J21" s="14">
        <f t="shared" si="2"/>
        <v>110.09400000000001</v>
      </c>
      <c r="K21" s="14">
        <f t="shared" si="3"/>
        <v>15.34</v>
      </c>
      <c r="L21" s="14"/>
      <c r="M21" s="14"/>
    </row>
    <row r="22" spans="1:13" s="1" customFormat="1" ht="40" customHeight="1" thickBot="1" x14ac:dyDescent="0.4">
      <c r="A22" s="11">
        <f t="shared" si="0"/>
        <v>19</v>
      </c>
      <c r="B22" s="8"/>
      <c r="C22" s="12" t="s">
        <v>25</v>
      </c>
      <c r="D22" s="12" t="s">
        <v>26</v>
      </c>
      <c r="E22" s="12"/>
      <c r="F22" s="12"/>
      <c r="G22" s="12"/>
      <c r="H22" s="13">
        <v>180</v>
      </c>
      <c r="I22" s="14">
        <f t="shared" si="1"/>
        <v>190</v>
      </c>
      <c r="J22" s="14">
        <f t="shared" si="2"/>
        <v>177.27</v>
      </c>
      <c r="K22" s="14">
        <f t="shared" si="3"/>
        <v>24.7</v>
      </c>
      <c r="L22" s="14"/>
      <c r="M22" s="14"/>
    </row>
    <row r="23" spans="1:13" s="1" customFormat="1" ht="40" customHeight="1" thickBot="1" x14ac:dyDescent="0.4">
      <c r="A23" s="11">
        <f t="shared" si="0"/>
        <v>20</v>
      </c>
      <c r="B23" s="8"/>
      <c r="C23" s="12" t="s">
        <v>44</v>
      </c>
      <c r="D23" s="12" t="s">
        <v>26</v>
      </c>
      <c r="E23" s="12"/>
      <c r="F23" s="12"/>
      <c r="G23" s="12"/>
      <c r="H23" s="13">
        <v>61</v>
      </c>
      <c r="I23" s="14">
        <f t="shared" si="1"/>
        <v>71</v>
      </c>
      <c r="J23" s="14">
        <f t="shared" si="2"/>
        <v>66.243000000000009</v>
      </c>
      <c r="K23" s="14">
        <f t="shared" si="3"/>
        <v>9.23</v>
      </c>
      <c r="L23" s="14"/>
      <c r="M23" s="14"/>
    </row>
    <row r="24" spans="1:13" s="1" customFormat="1" ht="40" customHeight="1" thickBot="1" x14ac:dyDescent="0.4">
      <c r="A24" s="11">
        <f t="shared" si="0"/>
        <v>21</v>
      </c>
      <c r="B24" s="8"/>
      <c r="C24" s="12" t="s">
        <v>45</v>
      </c>
      <c r="D24" s="12" t="s">
        <v>26</v>
      </c>
      <c r="E24" s="12"/>
      <c r="F24" s="12"/>
      <c r="G24" s="12"/>
      <c r="H24" s="13">
        <v>96</v>
      </c>
      <c r="I24" s="14">
        <f t="shared" si="1"/>
        <v>106</v>
      </c>
      <c r="J24" s="14">
        <f t="shared" si="2"/>
        <v>98.89800000000001</v>
      </c>
      <c r="K24" s="14">
        <f t="shared" si="3"/>
        <v>13.780000000000001</v>
      </c>
      <c r="L24" s="14"/>
      <c r="M24" s="14"/>
    </row>
    <row r="25" spans="1:13" x14ac:dyDescent="0.35">
      <c r="H25">
        <f>SUM(H4:H24)</f>
        <v>2054</v>
      </c>
      <c r="I25">
        <f>SUM(I4:I24)</f>
        <v>2264</v>
      </c>
      <c r="J25">
        <f t="shared" ref="J25:K25" si="4">SUM(J4:J24)</f>
        <v>2112.3119999999999</v>
      </c>
      <c r="K25">
        <f t="shared" si="4"/>
        <v>294.32000000000005</v>
      </c>
    </row>
  </sheetData>
  <mergeCells count="1">
    <mergeCell ref="J2:K2"/>
  </mergeCells>
  <pageMargins left="0.45" right="0.2" top="0.75" bottom="0.75" header="0.3" footer="0.3"/>
  <pageSetup scale="91" orientation="landscape" r:id="rId1"/>
  <headerFooter>
    <oddHeader>&amp;A</oddHeader>
    <oddFooter>Page &amp;P of &amp;N</oddFooter>
  </headerFooter>
  <colBreaks count="1" manualBreakCount="1">
    <brk id="13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64214-6C06-4CEB-B5D9-132F55B913A6}">
  <dimension ref="A1:O20"/>
  <sheetViews>
    <sheetView topLeftCell="A18" zoomScaleNormal="100" workbookViewId="0">
      <selection activeCell="J20" sqref="J20:K20"/>
    </sheetView>
  </sheetViews>
  <sheetFormatPr defaultRowHeight="14.5" x14ac:dyDescent="0.35"/>
  <cols>
    <col min="2" max="2" width="11.36328125" bestFit="1" customWidth="1"/>
    <col min="4" max="4" width="10.7265625" bestFit="1" customWidth="1"/>
    <col min="5" max="5" width="12.90625" bestFit="1" customWidth="1"/>
    <col min="6" max="6" width="19.453125" customWidth="1"/>
    <col min="7" max="7" width="11.1796875" bestFit="1" customWidth="1"/>
    <col min="8" max="8" width="4.81640625" bestFit="1" customWidth="1"/>
    <col min="9" max="9" width="10.08984375" customWidth="1"/>
    <col min="10" max="10" width="7.1796875" bestFit="1" customWidth="1"/>
    <col min="11" max="11" width="8.54296875" bestFit="1" customWidth="1"/>
    <col min="12" max="12" width="25.453125" customWidth="1"/>
    <col min="13" max="13" width="26.08984375" customWidth="1"/>
  </cols>
  <sheetData>
    <row r="1" spans="1:15" s="1" customFormat="1" ht="15" thickBot="1" x14ac:dyDescent="0.4">
      <c r="A1" s="1" t="s">
        <v>29</v>
      </c>
      <c r="C1" s="2"/>
      <c r="E1" s="1" t="s">
        <v>0</v>
      </c>
      <c r="F1" s="1" t="s">
        <v>1</v>
      </c>
      <c r="H1" s="3"/>
      <c r="I1" s="2" t="s">
        <v>16</v>
      </c>
    </row>
    <row r="2" spans="1:15" s="1" customFormat="1" ht="15" thickBot="1" x14ac:dyDescent="0.4">
      <c r="A2" s="1" t="s">
        <v>15</v>
      </c>
      <c r="C2" s="1" t="s">
        <v>2</v>
      </c>
      <c r="D2" s="1">
        <v>72818</v>
      </c>
      <c r="E2" s="4" t="s">
        <v>3</v>
      </c>
      <c r="F2" s="15"/>
      <c r="G2" s="15"/>
      <c r="H2" s="5"/>
      <c r="I2" s="6"/>
      <c r="J2" s="18" t="s">
        <v>4</v>
      </c>
      <c r="K2" s="19"/>
      <c r="M2" s="7"/>
    </row>
    <row r="3" spans="1:15" s="1" customFormat="1" ht="16" thickBot="1" x14ac:dyDescent="0.4">
      <c r="A3" s="8" t="s">
        <v>5</v>
      </c>
      <c r="B3" s="8" t="s">
        <v>6</v>
      </c>
      <c r="C3" s="8" t="s">
        <v>7</v>
      </c>
      <c r="D3" s="8" t="s">
        <v>8</v>
      </c>
      <c r="E3" s="8" t="s">
        <v>9</v>
      </c>
      <c r="F3" s="8" t="s">
        <v>17</v>
      </c>
      <c r="G3" s="8" t="s">
        <v>18</v>
      </c>
      <c r="H3" s="9"/>
      <c r="I3" s="10" t="s">
        <v>10</v>
      </c>
      <c r="J3" s="10" t="s">
        <v>11</v>
      </c>
      <c r="K3" s="10" t="s">
        <v>12</v>
      </c>
      <c r="L3" s="10" t="s">
        <v>13</v>
      </c>
      <c r="M3" s="10" t="s">
        <v>14</v>
      </c>
      <c r="O3" s="7">
        <v>46372</v>
      </c>
    </row>
    <row r="4" spans="1:15" s="1" customFormat="1" ht="40" customHeight="1" thickBot="1" x14ac:dyDescent="0.4">
      <c r="A4" s="11">
        <v>1</v>
      </c>
      <c r="B4" s="8"/>
      <c r="C4" s="12" t="s">
        <v>46</v>
      </c>
      <c r="D4" s="12" t="s">
        <v>26</v>
      </c>
      <c r="E4" s="12"/>
      <c r="F4" s="12"/>
      <c r="G4" s="12"/>
      <c r="H4" s="13">
        <v>18</v>
      </c>
      <c r="I4" s="14">
        <f>H4+10</f>
        <v>28</v>
      </c>
      <c r="J4" s="14">
        <f>I4*0.933</f>
        <v>26.124000000000002</v>
      </c>
      <c r="K4" s="14">
        <f>I4*0.13</f>
        <v>3.64</v>
      </c>
      <c r="L4" s="14"/>
      <c r="M4" s="14"/>
    </row>
    <row r="5" spans="1:15" s="1" customFormat="1" ht="40" customHeight="1" thickBot="1" x14ac:dyDescent="0.4">
      <c r="A5" s="11">
        <f>A4+1</f>
        <v>2</v>
      </c>
      <c r="B5" s="8"/>
      <c r="C5" s="12" t="s">
        <v>47</v>
      </c>
      <c r="D5" s="12" t="s">
        <v>26</v>
      </c>
      <c r="E5" s="12"/>
      <c r="F5" s="12"/>
      <c r="G5" s="12"/>
      <c r="H5" s="13">
        <v>18</v>
      </c>
      <c r="I5" s="14">
        <f>H5+10</f>
        <v>28</v>
      </c>
      <c r="J5" s="14">
        <f>I5*0.933</f>
        <v>26.124000000000002</v>
      </c>
      <c r="K5" s="14">
        <f>I5*0.13</f>
        <v>3.64</v>
      </c>
      <c r="L5" s="14"/>
      <c r="M5" s="14"/>
    </row>
    <row r="6" spans="1:15" s="1" customFormat="1" ht="40" customHeight="1" thickBot="1" x14ac:dyDescent="0.4">
      <c r="A6" s="11">
        <f t="shared" ref="A6:A19" si="0">A5+1</f>
        <v>3</v>
      </c>
      <c r="B6" s="8"/>
      <c r="C6" s="12" t="s">
        <v>48</v>
      </c>
      <c r="D6" s="12" t="s">
        <v>26</v>
      </c>
      <c r="E6" s="12"/>
      <c r="F6" s="12"/>
      <c r="G6" s="12"/>
      <c r="H6" s="13">
        <v>18</v>
      </c>
      <c r="I6" s="14">
        <f t="shared" ref="I6:I19" si="1">H6+10</f>
        <v>28</v>
      </c>
      <c r="J6" s="14">
        <f t="shared" ref="J6:J19" si="2">I6*0.933</f>
        <v>26.124000000000002</v>
      </c>
      <c r="K6" s="14">
        <f t="shared" ref="K6:K19" si="3">I6*0.13</f>
        <v>3.64</v>
      </c>
      <c r="L6" s="14"/>
      <c r="M6" s="14"/>
    </row>
    <row r="7" spans="1:15" s="1" customFormat="1" ht="40" customHeight="1" thickBot="1" x14ac:dyDescent="0.4">
      <c r="A7" s="11">
        <f t="shared" si="0"/>
        <v>4</v>
      </c>
      <c r="B7" s="8"/>
      <c r="C7" s="12" t="s">
        <v>49</v>
      </c>
      <c r="D7" s="12" t="s">
        <v>26</v>
      </c>
      <c r="E7" s="12"/>
      <c r="F7" s="12"/>
      <c r="G7" s="12"/>
      <c r="H7" s="13">
        <v>18</v>
      </c>
      <c r="I7" s="14">
        <f t="shared" si="1"/>
        <v>28</v>
      </c>
      <c r="J7" s="14">
        <f t="shared" si="2"/>
        <v>26.124000000000002</v>
      </c>
      <c r="K7" s="14">
        <f t="shared" si="3"/>
        <v>3.64</v>
      </c>
      <c r="L7" s="14"/>
      <c r="M7" s="14"/>
    </row>
    <row r="8" spans="1:15" s="1" customFormat="1" ht="40" customHeight="1" thickBot="1" x14ac:dyDescent="0.4">
      <c r="A8" s="11">
        <f t="shared" si="0"/>
        <v>5</v>
      </c>
      <c r="B8" s="8"/>
      <c r="C8" s="12" t="s">
        <v>19</v>
      </c>
      <c r="D8" s="12" t="s">
        <v>26</v>
      </c>
      <c r="E8" s="12"/>
      <c r="F8" s="12"/>
      <c r="G8" s="12"/>
      <c r="H8" s="13">
        <v>18</v>
      </c>
      <c r="I8" s="14">
        <f t="shared" si="1"/>
        <v>28</v>
      </c>
      <c r="J8" s="14">
        <f t="shared" si="2"/>
        <v>26.124000000000002</v>
      </c>
      <c r="K8" s="14">
        <f t="shared" si="3"/>
        <v>3.64</v>
      </c>
      <c r="L8" s="14"/>
      <c r="M8" s="14"/>
    </row>
    <row r="9" spans="1:15" s="1" customFormat="1" ht="40" customHeight="1" thickBot="1" x14ac:dyDescent="0.4">
      <c r="A9" s="11">
        <f t="shared" si="0"/>
        <v>6</v>
      </c>
      <c r="B9" s="8"/>
      <c r="C9" s="12" t="s">
        <v>20</v>
      </c>
      <c r="D9" s="12" t="s">
        <v>26</v>
      </c>
      <c r="E9" s="12"/>
      <c r="F9" s="12"/>
      <c r="G9" s="12"/>
      <c r="H9" s="13">
        <v>18</v>
      </c>
      <c r="I9" s="14">
        <f t="shared" si="1"/>
        <v>28</v>
      </c>
      <c r="J9" s="14">
        <f t="shared" si="2"/>
        <v>26.124000000000002</v>
      </c>
      <c r="K9" s="14">
        <f t="shared" si="3"/>
        <v>3.64</v>
      </c>
      <c r="L9" s="14"/>
      <c r="M9" s="14"/>
    </row>
    <row r="10" spans="1:15" s="1" customFormat="1" ht="40" customHeight="1" thickBot="1" x14ac:dyDescent="0.4">
      <c r="A10" s="11">
        <f t="shared" si="0"/>
        <v>7</v>
      </c>
      <c r="B10" s="8"/>
      <c r="C10" s="12" t="s">
        <v>50</v>
      </c>
      <c r="D10" s="12" t="s">
        <v>26</v>
      </c>
      <c r="E10" s="12"/>
      <c r="F10" s="12"/>
      <c r="G10" s="12"/>
      <c r="H10" s="13">
        <v>18</v>
      </c>
      <c r="I10" s="14">
        <f t="shared" si="1"/>
        <v>28</v>
      </c>
      <c r="J10" s="14">
        <f t="shared" si="2"/>
        <v>26.124000000000002</v>
      </c>
      <c r="K10" s="14">
        <f t="shared" si="3"/>
        <v>3.64</v>
      </c>
      <c r="L10" s="14"/>
      <c r="M10" s="14"/>
    </row>
    <row r="11" spans="1:15" s="1" customFormat="1" ht="40" customHeight="1" thickBot="1" x14ac:dyDescent="0.4">
      <c r="A11" s="11">
        <f t="shared" si="0"/>
        <v>8</v>
      </c>
      <c r="B11" s="8"/>
      <c r="C11" s="12" t="s">
        <v>51</v>
      </c>
      <c r="D11" s="12" t="s">
        <v>26</v>
      </c>
      <c r="E11" s="12"/>
      <c r="F11" s="12"/>
      <c r="G11" s="12"/>
      <c r="H11" s="13">
        <v>18</v>
      </c>
      <c r="I11" s="14">
        <f t="shared" si="1"/>
        <v>28</v>
      </c>
      <c r="J11" s="14">
        <f t="shared" si="2"/>
        <v>26.124000000000002</v>
      </c>
      <c r="K11" s="14">
        <f t="shared" si="3"/>
        <v>3.64</v>
      </c>
      <c r="L11" s="14"/>
      <c r="M11" s="14"/>
    </row>
    <row r="12" spans="1:15" s="1" customFormat="1" ht="40" customHeight="1" thickBot="1" x14ac:dyDescent="0.4">
      <c r="A12" s="11">
        <f t="shared" si="0"/>
        <v>9</v>
      </c>
      <c r="B12" s="8"/>
      <c r="C12" s="12" t="s">
        <v>52</v>
      </c>
      <c r="D12" s="12" t="s">
        <v>26</v>
      </c>
      <c r="E12" s="12"/>
      <c r="F12" s="12"/>
      <c r="G12" s="12"/>
      <c r="H12" s="13">
        <v>18</v>
      </c>
      <c r="I12" s="14">
        <f t="shared" si="1"/>
        <v>28</v>
      </c>
      <c r="J12" s="14">
        <f t="shared" si="2"/>
        <v>26.124000000000002</v>
      </c>
      <c r="K12" s="14">
        <f t="shared" si="3"/>
        <v>3.64</v>
      </c>
      <c r="L12" s="14"/>
      <c r="M12" s="14"/>
    </row>
    <row r="13" spans="1:15" s="1" customFormat="1" ht="40" customHeight="1" thickBot="1" x14ac:dyDescent="0.4">
      <c r="A13" s="11">
        <f t="shared" si="0"/>
        <v>10</v>
      </c>
      <c r="B13" s="8"/>
      <c r="C13" s="12" t="s">
        <v>22</v>
      </c>
      <c r="D13" s="12" t="s">
        <v>26</v>
      </c>
      <c r="E13" s="12"/>
      <c r="F13" s="12"/>
      <c r="G13" s="12"/>
      <c r="H13" s="13">
        <v>18</v>
      </c>
      <c r="I13" s="14">
        <f t="shared" si="1"/>
        <v>28</v>
      </c>
      <c r="J13" s="14">
        <f t="shared" si="2"/>
        <v>26.124000000000002</v>
      </c>
      <c r="K13" s="14">
        <f t="shared" si="3"/>
        <v>3.64</v>
      </c>
      <c r="L13" s="14"/>
      <c r="M13" s="14"/>
    </row>
    <row r="14" spans="1:15" s="1" customFormat="1" ht="40" customHeight="1" thickBot="1" x14ac:dyDescent="0.4">
      <c r="A14" s="11">
        <f t="shared" si="0"/>
        <v>11</v>
      </c>
      <c r="B14" s="8"/>
      <c r="C14" s="12" t="s">
        <v>23</v>
      </c>
      <c r="D14" s="12" t="s">
        <v>26</v>
      </c>
      <c r="E14" s="12"/>
      <c r="F14" s="12"/>
      <c r="G14" s="12"/>
      <c r="H14" s="13">
        <v>18</v>
      </c>
      <c r="I14" s="14">
        <f t="shared" si="1"/>
        <v>28</v>
      </c>
      <c r="J14" s="14">
        <f t="shared" si="2"/>
        <v>26.124000000000002</v>
      </c>
      <c r="K14" s="14">
        <f t="shared" si="3"/>
        <v>3.64</v>
      </c>
      <c r="L14" s="14"/>
      <c r="M14" s="14"/>
    </row>
    <row r="15" spans="1:15" s="1" customFormat="1" ht="40" customHeight="1" thickBot="1" x14ac:dyDescent="0.4">
      <c r="A15" s="11">
        <f t="shared" si="0"/>
        <v>12</v>
      </c>
      <c r="B15" s="8"/>
      <c r="C15" s="12" t="s">
        <v>24</v>
      </c>
      <c r="D15" s="12" t="s">
        <v>26</v>
      </c>
      <c r="E15" s="12"/>
      <c r="F15" s="12"/>
      <c r="G15" s="12"/>
      <c r="H15" s="13">
        <v>18</v>
      </c>
      <c r="I15" s="14">
        <f t="shared" si="1"/>
        <v>28</v>
      </c>
      <c r="J15" s="14">
        <f t="shared" si="2"/>
        <v>26.124000000000002</v>
      </c>
      <c r="K15" s="14">
        <f t="shared" si="3"/>
        <v>3.64</v>
      </c>
      <c r="L15" s="14"/>
      <c r="M15" s="14"/>
    </row>
    <row r="16" spans="1:15" s="1" customFormat="1" ht="40" customHeight="1" thickBot="1" x14ac:dyDescent="0.4">
      <c r="A16" s="11">
        <f t="shared" si="0"/>
        <v>13</v>
      </c>
      <c r="B16" s="8"/>
      <c r="C16" s="12" t="s">
        <v>53</v>
      </c>
      <c r="D16" s="12" t="s">
        <v>26</v>
      </c>
      <c r="E16" s="12"/>
      <c r="F16" s="12"/>
      <c r="G16" s="12"/>
      <c r="H16" s="13">
        <v>18</v>
      </c>
      <c r="I16" s="14">
        <f t="shared" si="1"/>
        <v>28</v>
      </c>
      <c r="J16" s="14">
        <f t="shared" si="2"/>
        <v>26.124000000000002</v>
      </c>
      <c r="K16" s="14">
        <f t="shared" si="3"/>
        <v>3.64</v>
      </c>
      <c r="L16" s="14"/>
      <c r="M16" s="14"/>
    </row>
    <row r="17" spans="1:13" s="1" customFormat="1" ht="40" customHeight="1" thickBot="1" x14ac:dyDescent="0.4">
      <c r="A17" s="11">
        <f t="shared" si="0"/>
        <v>14</v>
      </c>
      <c r="B17" s="8"/>
      <c r="C17" s="12" t="s">
        <v>25</v>
      </c>
      <c r="D17" s="12" t="s">
        <v>26</v>
      </c>
      <c r="E17" s="12"/>
      <c r="F17" s="12"/>
      <c r="G17" s="12"/>
      <c r="H17" s="13">
        <v>42</v>
      </c>
      <c r="I17" s="14">
        <f t="shared" si="1"/>
        <v>52</v>
      </c>
      <c r="J17" s="14">
        <f t="shared" si="2"/>
        <v>48.516000000000005</v>
      </c>
      <c r="K17" s="14">
        <f t="shared" si="3"/>
        <v>6.76</v>
      </c>
      <c r="L17" s="14"/>
      <c r="M17" s="14"/>
    </row>
    <row r="18" spans="1:13" s="1" customFormat="1" ht="40" customHeight="1" thickBot="1" x14ac:dyDescent="0.4">
      <c r="A18" s="11">
        <f t="shared" si="0"/>
        <v>15</v>
      </c>
      <c r="B18" s="8"/>
      <c r="C18" s="12" t="s">
        <v>44</v>
      </c>
      <c r="D18" s="12" t="s">
        <v>26</v>
      </c>
      <c r="E18" s="12"/>
      <c r="F18" s="12"/>
      <c r="G18" s="12"/>
      <c r="H18" s="13">
        <v>18</v>
      </c>
      <c r="I18" s="14">
        <f t="shared" si="1"/>
        <v>28</v>
      </c>
      <c r="J18" s="14">
        <f t="shared" si="2"/>
        <v>26.124000000000002</v>
      </c>
      <c r="K18" s="14">
        <f t="shared" si="3"/>
        <v>3.64</v>
      </c>
      <c r="L18" s="14"/>
      <c r="M18" s="14"/>
    </row>
    <row r="19" spans="1:13" s="1" customFormat="1" ht="40" customHeight="1" thickBot="1" x14ac:dyDescent="0.4">
      <c r="A19" s="11">
        <f t="shared" si="0"/>
        <v>16</v>
      </c>
      <c r="B19" s="8"/>
      <c r="C19" s="12" t="s">
        <v>54</v>
      </c>
      <c r="D19" s="12" t="s">
        <v>26</v>
      </c>
      <c r="E19" s="12"/>
      <c r="F19" s="12"/>
      <c r="G19" s="12"/>
      <c r="H19" s="13">
        <v>18</v>
      </c>
      <c r="I19" s="14">
        <f t="shared" si="1"/>
        <v>28</v>
      </c>
      <c r="J19" s="14">
        <f t="shared" si="2"/>
        <v>26.124000000000002</v>
      </c>
      <c r="K19" s="14">
        <f t="shared" si="3"/>
        <v>3.64</v>
      </c>
      <c r="L19" s="14"/>
      <c r="M19" s="14"/>
    </row>
    <row r="20" spans="1:13" x14ac:dyDescent="0.35">
      <c r="H20">
        <f>SUM(H4:H19)</f>
        <v>312</v>
      </c>
      <c r="I20">
        <f>SUM(I4:I19)</f>
        <v>472</v>
      </c>
      <c r="J20">
        <f t="shared" ref="J20:K20" si="4">SUM(J4:J19)</f>
        <v>440.37600000000015</v>
      </c>
      <c r="K20">
        <f t="shared" si="4"/>
        <v>61.36</v>
      </c>
    </row>
  </sheetData>
  <mergeCells count="1">
    <mergeCell ref="J2:K2"/>
  </mergeCells>
  <pageMargins left="0.45" right="0.2" top="0.75" bottom="0.75" header="0.3" footer="0.3"/>
  <pageSetup scale="91" orientation="landscape" r:id="rId1"/>
  <headerFooter>
    <oddHeader>&amp;A</oddHeader>
    <oddFooter>Page &amp;P of &amp;N</oddFooter>
  </headerFooter>
  <colBreaks count="1" manualBreakCount="1">
    <brk id="13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598D-2DB0-4F49-9E10-ACB8A674C24A}">
  <dimension ref="A1:O12"/>
  <sheetViews>
    <sheetView zoomScaleNormal="100" workbookViewId="0">
      <selection activeCell="H10" sqref="H10"/>
    </sheetView>
  </sheetViews>
  <sheetFormatPr defaultRowHeight="14.5" x14ac:dyDescent="0.35"/>
  <cols>
    <col min="2" max="2" width="11.36328125" bestFit="1" customWidth="1"/>
    <col min="4" max="4" width="10.7265625" bestFit="1" customWidth="1"/>
    <col min="5" max="5" width="12.90625" bestFit="1" customWidth="1"/>
    <col min="6" max="6" width="19.453125" customWidth="1"/>
    <col min="7" max="7" width="11.1796875" bestFit="1" customWidth="1"/>
    <col min="8" max="8" width="4.81640625" bestFit="1" customWidth="1"/>
    <col min="9" max="9" width="9.90625" customWidth="1"/>
    <col min="10" max="10" width="7.1796875" bestFit="1" customWidth="1"/>
    <col min="11" max="11" width="8.54296875" bestFit="1" customWidth="1"/>
    <col min="12" max="12" width="25.453125" customWidth="1"/>
    <col min="13" max="13" width="26.08984375" customWidth="1"/>
  </cols>
  <sheetData>
    <row r="1" spans="1:15" s="1" customFormat="1" ht="15" thickBot="1" x14ac:dyDescent="0.4">
      <c r="A1" s="1" t="s">
        <v>29</v>
      </c>
      <c r="C1" s="2"/>
      <c r="E1" s="1" t="s">
        <v>0</v>
      </c>
      <c r="F1" s="1" t="s">
        <v>1</v>
      </c>
      <c r="H1" s="3"/>
      <c r="I1" s="2" t="s">
        <v>16</v>
      </c>
    </row>
    <row r="2" spans="1:15" s="1" customFormat="1" ht="15" thickBot="1" x14ac:dyDescent="0.4">
      <c r="A2" s="1" t="s">
        <v>15</v>
      </c>
      <c r="C2" s="1" t="s">
        <v>2</v>
      </c>
      <c r="D2" s="1">
        <v>72817</v>
      </c>
      <c r="E2" s="4" t="s">
        <v>3</v>
      </c>
      <c r="F2" s="15"/>
      <c r="G2" s="15"/>
      <c r="H2" s="5"/>
      <c r="I2" s="6"/>
      <c r="J2" s="18" t="s">
        <v>4</v>
      </c>
      <c r="K2" s="19"/>
      <c r="M2" s="7"/>
    </row>
    <row r="3" spans="1:15" s="1" customFormat="1" ht="16" thickBot="1" x14ac:dyDescent="0.4">
      <c r="A3" s="8" t="s">
        <v>5</v>
      </c>
      <c r="B3" s="8" t="s">
        <v>6</v>
      </c>
      <c r="C3" s="8" t="s">
        <v>7</v>
      </c>
      <c r="D3" s="8" t="s">
        <v>8</v>
      </c>
      <c r="E3" s="8" t="s">
        <v>9</v>
      </c>
      <c r="F3" s="8" t="s">
        <v>17</v>
      </c>
      <c r="G3" s="8" t="s">
        <v>18</v>
      </c>
      <c r="H3" s="9"/>
      <c r="I3" s="10" t="s">
        <v>10</v>
      </c>
      <c r="J3" s="10" t="s">
        <v>11</v>
      </c>
      <c r="K3" s="10" t="s">
        <v>12</v>
      </c>
      <c r="L3" s="10" t="s">
        <v>13</v>
      </c>
      <c r="M3" s="10" t="s">
        <v>14</v>
      </c>
      <c r="O3" s="7">
        <v>46344</v>
      </c>
    </row>
    <row r="4" spans="1:15" s="1" customFormat="1" ht="40" customHeight="1" thickBot="1" x14ac:dyDescent="0.4">
      <c r="A4" s="11">
        <v>1</v>
      </c>
      <c r="B4" s="8"/>
      <c r="C4" s="12" t="s">
        <v>25</v>
      </c>
      <c r="D4" s="12" t="s">
        <v>26</v>
      </c>
      <c r="E4" s="12"/>
      <c r="F4" s="12"/>
      <c r="G4" s="12"/>
      <c r="H4" s="13">
        <v>48</v>
      </c>
      <c r="I4" s="14">
        <f>H4+10</f>
        <v>58</v>
      </c>
      <c r="J4" s="14">
        <f>I4*0.933</f>
        <v>54.114000000000004</v>
      </c>
      <c r="K4" s="14">
        <f>I4*0.13</f>
        <v>7.54</v>
      </c>
      <c r="L4" s="14"/>
      <c r="M4" s="14"/>
    </row>
    <row r="5" spans="1:15" x14ac:dyDescent="0.35">
      <c r="H5">
        <f>SUM(H4:H4)</f>
        <v>48</v>
      </c>
      <c r="I5">
        <f>SUM(I4:I4)</f>
        <v>58</v>
      </c>
    </row>
    <row r="8" spans="1:15" s="1" customFormat="1" ht="15" thickBot="1" x14ac:dyDescent="0.4">
      <c r="A8" s="1" t="s">
        <v>29</v>
      </c>
      <c r="C8" s="2"/>
      <c r="E8" s="1" t="s">
        <v>0</v>
      </c>
      <c r="F8" s="1" t="s">
        <v>1</v>
      </c>
      <c r="H8" s="3"/>
      <c r="I8" s="2"/>
    </row>
    <row r="9" spans="1:15" s="1" customFormat="1" ht="15" thickBot="1" x14ac:dyDescent="0.4">
      <c r="A9" s="1" t="s">
        <v>15</v>
      </c>
      <c r="C9" s="1" t="s">
        <v>2</v>
      </c>
      <c r="D9" s="1">
        <v>73338</v>
      </c>
      <c r="E9" s="4" t="s">
        <v>3</v>
      </c>
      <c r="F9" s="15"/>
      <c r="G9" s="15"/>
      <c r="H9" s="5"/>
      <c r="I9" s="6"/>
      <c r="J9" s="18" t="s">
        <v>4</v>
      </c>
      <c r="K9" s="19"/>
      <c r="M9" s="7"/>
    </row>
    <row r="10" spans="1:15" s="1" customFormat="1" ht="16" thickBot="1" x14ac:dyDescent="0.4">
      <c r="A10" s="8" t="s">
        <v>5</v>
      </c>
      <c r="B10" s="8" t="s">
        <v>6</v>
      </c>
      <c r="C10" s="8" t="s">
        <v>7</v>
      </c>
      <c r="D10" s="8" t="s">
        <v>8</v>
      </c>
      <c r="E10" s="8" t="s">
        <v>9</v>
      </c>
      <c r="F10" s="8" t="s">
        <v>17</v>
      </c>
      <c r="G10" s="8" t="s">
        <v>18</v>
      </c>
      <c r="H10" s="9"/>
      <c r="I10" s="10" t="s">
        <v>10</v>
      </c>
      <c r="J10" s="10" t="s">
        <v>11</v>
      </c>
      <c r="K10" s="10" t="s">
        <v>12</v>
      </c>
      <c r="L10" s="10" t="s">
        <v>13</v>
      </c>
      <c r="M10" s="10" t="s">
        <v>14</v>
      </c>
      <c r="O10" s="7">
        <v>46344</v>
      </c>
    </row>
    <row r="11" spans="1:15" s="1" customFormat="1" ht="40" customHeight="1" thickBot="1" x14ac:dyDescent="0.4">
      <c r="A11" s="11">
        <v>1</v>
      </c>
      <c r="B11" s="8"/>
      <c r="C11" s="12" t="s">
        <v>46</v>
      </c>
      <c r="D11" s="12" t="s">
        <v>57</v>
      </c>
      <c r="E11" s="12"/>
      <c r="F11" s="12"/>
      <c r="G11" s="12"/>
      <c r="H11" s="13">
        <v>18</v>
      </c>
      <c r="I11" s="14">
        <f>H11+10</f>
        <v>28</v>
      </c>
      <c r="J11" s="14">
        <f>I11*0.933</f>
        <v>26.124000000000002</v>
      </c>
      <c r="K11" s="14">
        <f>I11*0.13</f>
        <v>3.64</v>
      </c>
      <c r="L11" s="14"/>
      <c r="M11" s="14"/>
    </row>
    <row r="12" spans="1:15" s="1" customFormat="1" ht="40" customHeight="1" thickBot="1" x14ac:dyDescent="0.4">
      <c r="A12" s="11">
        <f>A11+1</f>
        <v>2</v>
      </c>
      <c r="B12" s="8"/>
      <c r="C12" s="12" t="s">
        <v>48</v>
      </c>
      <c r="D12" s="12" t="s">
        <v>58</v>
      </c>
      <c r="E12" s="12"/>
      <c r="F12" s="12"/>
      <c r="G12" s="12"/>
      <c r="H12" s="13">
        <v>24</v>
      </c>
      <c r="I12" s="14">
        <f>H12+10</f>
        <v>34</v>
      </c>
      <c r="J12" s="14">
        <f>I12*0.933</f>
        <v>31.722000000000001</v>
      </c>
      <c r="K12" s="14">
        <f>I12*0.13</f>
        <v>4.42</v>
      </c>
      <c r="L12" s="14"/>
      <c r="M12" s="14"/>
    </row>
  </sheetData>
  <mergeCells count="2">
    <mergeCell ref="J2:K2"/>
    <mergeCell ref="J9:K9"/>
  </mergeCells>
  <pageMargins left="0.45" right="0.2" top="0.75" bottom="0.75" header="0.3" footer="0.3"/>
  <pageSetup scale="91" orientation="landscape" r:id="rId1"/>
  <headerFooter>
    <oddHeader>&amp;A</oddHeader>
    <oddFooter>Page &amp;P of &amp;N</oddFooter>
  </headerFooter>
  <colBreaks count="1" manualBreakCount="1">
    <brk id="13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61266-9553-414C-942C-8AD98157090D}">
  <dimension ref="A1:O24"/>
  <sheetViews>
    <sheetView topLeftCell="A18" zoomScaleNormal="100" workbookViewId="0">
      <selection activeCell="J24" sqref="J24:K24"/>
    </sheetView>
  </sheetViews>
  <sheetFormatPr defaultRowHeight="14.5" x14ac:dyDescent="0.35"/>
  <cols>
    <col min="2" max="2" width="11.36328125" bestFit="1" customWidth="1"/>
    <col min="4" max="4" width="10.7265625" bestFit="1" customWidth="1"/>
    <col min="5" max="5" width="12.90625" bestFit="1" customWidth="1"/>
    <col min="6" max="6" width="19.453125" customWidth="1"/>
    <col min="7" max="7" width="11.1796875" bestFit="1" customWidth="1"/>
    <col min="8" max="8" width="4.81640625" bestFit="1" customWidth="1"/>
    <col min="9" max="9" width="10.08984375" customWidth="1"/>
    <col min="10" max="10" width="7.1796875" bestFit="1" customWidth="1"/>
    <col min="11" max="11" width="8.54296875" bestFit="1" customWidth="1"/>
    <col min="12" max="12" width="25.453125" customWidth="1"/>
    <col min="13" max="13" width="26.08984375" customWidth="1"/>
  </cols>
  <sheetData>
    <row r="1" spans="1:15" s="1" customFormat="1" ht="15" thickBot="1" x14ac:dyDescent="0.4">
      <c r="A1" s="1" t="s">
        <v>29</v>
      </c>
      <c r="C1" s="2"/>
      <c r="E1" s="1" t="s">
        <v>0</v>
      </c>
      <c r="F1" s="1" t="s">
        <v>1</v>
      </c>
      <c r="H1" s="3"/>
      <c r="I1" s="2" t="s">
        <v>16</v>
      </c>
    </row>
    <row r="2" spans="1:15" s="1" customFormat="1" ht="15" thickBot="1" x14ac:dyDescent="0.4">
      <c r="A2" s="1" t="s">
        <v>15</v>
      </c>
      <c r="C2" s="1" t="s">
        <v>2</v>
      </c>
      <c r="D2" s="1">
        <v>72816</v>
      </c>
      <c r="E2" s="4" t="s">
        <v>3</v>
      </c>
      <c r="F2" s="15"/>
      <c r="G2" s="15"/>
      <c r="H2" s="5"/>
      <c r="I2" s="6"/>
      <c r="J2" s="18" t="s">
        <v>4</v>
      </c>
      <c r="K2" s="19"/>
      <c r="M2" s="7"/>
    </row>
    <row r="3" spans="1:15" s="1" customFormat="1" ht="16" thickBot="1" x14ac:dyDescent="0.4">
      <c r="A3" s="8" t="s">
        <v>5</v>
      </c>
      <c r="B3" s="8" t="s">
        <v>6</v>
      </c>
      <c r="C3" s="8" t="s">
        <v>7</v>
      </c>
      <c r="D3" s="8" t="s">
        <v>8</v>
      </c>
      <c r="E3" s="8" t="s">
        <v>9</v>
      </c>
      <c r="F3" s="8" t="s">
        <v>17</v>
      </c>
      <c r="G3" s="8" t="s">
        <v>18</v>
      </c>
      <c r="H3" s="9"/>
      <c r="I3" s="10" t="s">
        <v>10</v>
      </c>
      <c r="J3" s="10" t="s">
        <v>11</v>
      </c>
      <c r="K3" s="10" t="s">
        <v>12</v>
      </c>
      <c r="L3" s="10" t="s">
        <v>13</v>
      </c>
      <c r="M3" s="10" t="s">
        <v>14</v>
      </c>
      <c r="O3" s="7">
        <v>46372</v>
      </c>
    </row>
    <row r="4" spans="1:15" s="1" customFormat="1" ht="40" customHeight="1" thickBot="1" x14ac:dyDescent="0.4">
      <c r="A4" s="11">
        <v>1</v>
      </c>
      <c r="B4" s="8"/>
      <c r="C4" s="12" t="s">
        <v>46</v>
      </c>
      <c r="D4" s="12" t="s">
        <v>26</v>
      </c>
      <c r="E4" s="12"/>
      <c r="F4" s="12"/>
      <c r="G4" s="12"/>
      <c r="H4" s="13">
        <v>30</v>
      </c>
      <c r="I4" s="14">
        <f>H4+10</f>
        <v>40</v>
      </c>
      <c r="J4" s="14">
        <f>I4*0.933</f>
        <v>37.32</v>
      </c>
      <c r="K4" s="14">
        <f>I4*0.13</f>
        <v>5.2</v>
      </c>
      <c r="L4" s="14"/>
      <c r="M4" s="14"/>
    </row>
    <row r="5" spans="1:15" s="1" customFormat="1" ht="40" customHeight="1" thickBot="1" x14ac:dyDescent="0.4">
      <c r="A5" s="11">
        <f>A4+1</f>
        <v>2</v>
      </c>
      <c r="B5" s="8"/>
      <c r="C5" s="12" t="s">
        <v>47</v>
      </c>
      <c r="D5" s="12" t="s">
        <v>26</v>
      </c>
      <c r="E5" s="12"/>
      <c r="F5" s="12"/>
      <c r="G5" s="12"/>
      <c r="H5" s="13">
        <v>30</v>
      </c>
      <c r="I5" s="14">
        <f>H5+10</f>
        <v>40</v>
      </c>
      <c r="J5" s="14">
        <f>I5*0.933</f>
        <v>37.32</v>
      </c>
      <c r="K5" s="14">
        <f>I5*0.13</f>
        <v>5.2</v>
      </c>
      <c r="L5" s="14"/>
      <c r="M5" s="14"/>
    </row>
    <row r="6" spans="1:15" s="1" customFormat="1" ht="40" customHeight="1" thickBot="1" x14ac:dyDescent="0.4">
      <c r="A6" s="11">
        <f>A5+1</f>
        <v>3</v>
      </c>
      <c r="B6" s="8"/>
      <c r="C6" s="12" t="s">
        <v>55</v>
      </c>
      <c r="D6" s="12" t="s">
        <v>26</v>
      </c>
      <c r="E6" s="12"/>
      <c r="F6" s="12"/>
      <c r="G6" s="12"/>
      <c r="H6" s="13">
        <v>54</v>
      </c>
      <c r="I6" s="14">
        <f>H6+10</f>
        <v>64</v>
      </c>
      <c r="J6" s="14">
        <f>I6*0.933</f>
        <v>59.712000000000003</v>
      </c>
      <c r="K6" s="14">
        <f>I6*0.13</f>
        <v>8.32</v>
      </c>
      <c r="L6" s="14"/>
      <c r="M6" s="14"/>
    </row>
    <row r="7" spans="1:15" s="1" customFormat="1" ht="40" customHeight="1" thickBot="1" x14ac:dyDescent="0.4">
      <c r="A7" s="11">
        <f>A6+1</f>
        <v>4</v>
      </c>
      <c r="B7" s="8"/>
      <c r="C7" s="12" t="s">
        <v>48</v>
      </c>
      <c r="D7" s="12" t="s">
        <v>26</v>
      </c>
      <c r="E7" s="12"/>
      <c r="F7" s="12"/>
      <c r="G7" s="12"/>
      <c r="H7" s="13">
        <v>30</v>
      </c>
      <c r="I7" s="14">
        <f t="shared" ref="I7:I23" si="0">H7+10</f>
        <v>40</v>
      </c>
      <c r="J7" s="14">
        <f t="shared" ref="J7:J23" si="1">I7*0.933</f>
        <v>37.32</v>
      </c>
      <c r="K7" s="14">
        <f t="shared" ref="K7:K23" si="2">I7*0.13</f>
        <v>5.2</v>
      </c>
      <c r="L7" s="14"/>
      <c r="M7" s="14"/>
    </row>
    <row r="8" spans="1:15" s="1" customFormat="1" ht="40" customHeight="1" thickBot="1" x14ac:dyDescent="0.4">
      <c r="A8" s="11">
        <f t="shared" ref="A8:A23" si="3">A7+1</f>
        <v>5</v>
      </c>
      <c r="B8" s="8"/>
      <c r="C8" s="12" t="s">
        <v>49</v>
      </c>
      <c r="D8" s="12" t="s">
        <v>26</v>
      </c>
      <c r="E8" s="12"/>
      <c r="F8" s="12"/>
      <c r="G8" s="12"/>
      <c r="H8" s="13">
        <v>30</v>
      </c>
      <c r="I8" s="14">
        <f t="shared" si="0"/>
        <v>40</v>
      </c>
      <c r="J8" s="14">
        <f t="shared" si="1"/>
        <v>37.32</v>
      </c>
      <c r="K8" s="14">
        <f t="shared" si="2"/>
        <v>5.2</v>
      </c>
      <c r="L8" s="14"/>
      <c r="M8" s="14"/>
    </row>
    <row r="9" spans="1:15" s="1" customFormat="1" ht="40" customHeight="1" thickBot="1" x14ac:dyDescent="0.4">
      <c r="A9" s="11">
        <f t="shared" si="3"/>
        <v>6</v>
      </c>
      <c r="B9" s="8"/>
      <c r="C9" s="12" t="s">
        <v>19</v>
      </c>
      <c r="D9" s="12" t="s">
        <v>26</v>
      </c>
      <c r="E9" s="12"/>
      <c r="F9" s="12"/>
      <c r="G9" s="12"/>
      <c r="H9" s="13">
        <v>30</v>
      </c>
      <c r="I9" s="14">
        <f t="shared" si="0"/>
        <v>40</v>
      </c>
      <c r="J9" s="14">
        <f t="shared" si="1"/>
        <v>37.32</v>
      </c>
      <c r="K9" s="14">
        <f t="shared" si="2"/>
        <v>5.2</v>
      </c>
      <c r="L9" s="14"/>
      <c r="M9" s="14"/>
    </row>
    <row r="10" spans="1:15" s="1" customFormat="1" ht="40" customHeight="1" thickBot="1" x14ac:dyDescent="0.4">
      <c r="A10" s="11">
        <f t="shared" si="3"/>
        <v>7</v>
      </c>
      <c r="B10" s="8"/>
      <c r="C10" s="12" t="s">
        <v>20</v>
      </c>
      <c r="D10" s="12" t="s">
        <v>26</v>
      </c>
      <c r="E10" s="12"/>
      <c r="F10" s="12"/>
      <c r="G10" s="12"/>
      <c r="H10" s="13">
        <v>30</v>
      </c>
      <c r="I10" s="14">
        <f t="shared" si="0"/>
        <v>40</v>
      </c>
      <c r="J10" s="14">
        <f t="shared" si="1"/>
        <v>37.32</v>
      </c>
      <c r="K10" s="14">
        <f t="shared" si="2"/>
        <v>5.2</v>
      </c>
      <c r="L10" s="14"/>
      <c r="M10" s="14"/>
    </row>
    <row r="11" spans="1:15" s="1" customFormat="1" ht="40" customHeight="1" thickBot="1" x14ac:dyDescent="0.4">
      <c r="A11" s="11">
        <f t="shared" ref="A11:A12" si="4">A10+1</f>
        <v>8</v>
      </c>
      <c r="B11" s="8"/>
      <c r="C11" s="12" t="s">
        <v>27</v>
      </c>
      <c r="D11" s="12" t="s">
        <v>26</v>
      </c>
      <c r="E11" s="12"/>
      <c r="F11" s="12"/>
      <c r="G11" s="12"/>
      <c r="H11" s="13">
        <v>30</v>
      </c>
      <c r="I11" s="14">
        <f t="shared" si="0"/>
        <v>40</v>
      </c>
      <c r="J11" s="14">
        <f t="shared" si="1"/>
        <v>37.32</v>
      </c>
      <c r="K11" s="14">
        <f t="shared" ref="K11" si="5">I11*0.13</f>
        <v>5.2</v>
      </c>
      <c r="L11" s="14"/>
      <c r="M11" s="14"/>
    </row>
    <row r="12" spans="1:15" s="1" customFormat="1" ht="40" customHeight="1" thickBot="1" x14ac:dyDescent="0.4">
      <c r="A12" s="11">
        <f t="shared" si="4"/>
        <v>9</v>
      </c>
      <c r="B12" s="8"/>
      <c r="C12" s="12" t="s">
        <v>50</v>
      </c>
      <c r="D12" s="12" t="s">
        <v>26</v>
      </c>
      <c r="E12" s="12"/>
      <c r="F12" s="12"/>
      <c r="G12" s="12"/>
      <c r="H12" s="13">
        <v>30</v>
      </c>
      <c r="I12" s="14">
        <f t="shared" si="0"/>
        <v>40</v>
      </c>
      <c r="J12" s="14">
        <f t="shared" si="1"/>
        <v>37.32</v>
      </c>
      <c r="K12" s="14">
        <f t="shared" si="2"/>
        <v>5.2</v>
      </c>
      <c r="L12" s="14"/>
      <c r="M12" s="14"/>
    </row>
    <row r="13" spans="1:15" s="1" customFormat="1" ht="40" customHeight="1" thickBot="1" x14ac:dyDescent="0.4">
      <c r="A13" s="11">
        <f t="shared" si="3"/>
        <v>10</v>
      </c>
      <c r="B13" s="8"/>
      <c r="C13" s="12" t="s">
        <v>51</v>
      </c>
      <c r="D13" s="12" t="s">
        <v>26</v>
      </c>
      <c r="E13" s="12"/>
      <c r="F13" s="12"/>
      <c r="G13" s="12"/>
      <c r="H13" s="13">
        <v>30</v>
      </c>
      <c r="I13" s="14">
        <f t="shared" si="0"/>
        <v>40</v>
      </c>
      <c r="J13" s="14">
        <f t="shared" si="1"/>
        <v>37.32</v>
      </c>
      <c r="K13" s="14">
        <f t="shared" si="2"/>
        <v>5.2</v>
      </c>
      <c r="L13" s="14"/>
      <c r="M13" s="14"/>
    </row>
    <row r="14" spans="1:15" s="1" customFormat="1" ht="40" customHeight="1" thickBot="1" x14ac:dyDescent="0.4">
      <c r="A14" s="11">
        <f t="shared" si="3"/>
        <v>11</v>
      </c>
      <c r="B14" s="8"/>
      <c r="C14" s="12" t="s">
        <v>52</v>
      </c>
      <c r="D14" s="12" t="s">
        <v>26</v>
      </c>
      <c r="E14" s="12"/>
      <c r="F14" s="12"/>
      <c r="G14" s="12"/>
      <c r="H14" s="13">
        <v>30</v>
      </c>
      <c r="I14" s="14">
        <f t="shared" si="0"/>
        <v>40</v>
      </c>
      <c r="J14" s="14">
        <f t="shared" si="1"/>
        <v>37.32</v>
      </c>
      <c r="K14" s="14">
        <f t="shared" si="2"/>
        <v>5.2</v>
      </c>
      <c r="L14" s="14"/>
      <c r="M14" s="14"/>
    </row>
    <row r="15" spans="1:15" s="1" customFormat="1" ht="40" customHeight="1" thickBot="1" x14ac:dyDescent="0.4">
      <c r="A15" s="11">
        <f t="shared" si="3"/>
        <v>12</v>
      </c>
      <c r="B15" s="8"/>
      <c r="C15" s="12" t="s">
        <v>22</v>
      </c>
      <c r="D15" s="12" t="s">
        <v>26</v>
      </c>
      <c r="E15" s="12"/>
      <c r="F15" s="12"/>
      <c r="G15" s="12"/>
      <c r="H15" s="13">
        <v>30</v>
      </c>
      <c r="I15" s="14">
        <f t="shared" si="0"/>
        <v>40</v>
      </c>
      <c r="J15" s="14">
        <f t="shared" si="1"/>
        <v>37.32</v>
      </c>
      <c r="K15" s="14">
        <f t="shared" si="2"/>
        <v>5.2</v>
      </c>
      <c r="L15" s="14"/>
      <c r="M15" s="14"/>
    </row>
    <row r="16" spans="1:15" s="1" customFormat="1" ht="40" customHeight="1" thickBot="1" x14ac:dyDescent="0.4">
      <c r="A16" s="11">
        <f t="shared" ref="A16:A17" si="6">A15+1</f>
        <v>13</v>
      </c>
      <c r="B16" s="8"/>
      <c r="C16" s="12" t="s">
        <v>28</v>
      </c>
      <c r="D16" s="12" t="s">
        <v>26</v>
      </c>
      <c r="E16" s="12"/>
      <c r="F16" s="12"/>
      <c r="G16" s="12"/>
      <c r="H16" s="13">
        <v>48</v>
      </c>
      <c r="I16" s="14">
        <f t="shared" si="0"/>
        <v>58</v>
      </c>
      <c r="J16" s="14">
        <f t="shared" si="1"/>
        <v>54.114000000000004</v>
      </c>
      <c r="K16" s="14">
        <f t="shared" ref="K16" si="7">I16*0.13</f>
        <v>7.54</v>
      </c>
      <c r="L16" s="14"/>
      <c r="M16" s="14"/>
    </row>
    <row r="17" spans="1:13" s="1" customFormat="1" ht="40" customHeight="1" thickBot="1" x14ac:dyDescent="0.4">
      <c r="A17" s="11">
        <f t="shared" si="6"/>
        <v>14</v>
      </c>
      <c r="B17" s="8"/>
      <c r="C17" s="12" t="s">
        <v>23</v>
      </c>
      <c r="D17" s="12" t="s">
        <v>26</v>
      </c>
      <c r="E17" s="12"/>
      <c r="F17" s="12"/>
      <c r="G17" s="12"/>
      <c r="H17" s="13">
        <v>30</v>
      </c>
      <c r="I17" s="14">
        <f t="shared" si="0"/>
        <v>40</v>
      </c>
      <c r="J17" s="14">
        <f t="shared" si="1"/>
        <v>37.32</v>
      </c>
      <c r="K17" s="14">
        <f t="shared" si="2"/>
        <v>5.2</v>
      </c>
      <c r="L17" s="14"/>
      <c r="M17" s="14"/>
    </row>
    <row r="18" spans="1:13" s="1" customFormat="1" ht="40" customHeight="1" thickBot="1" x14ac:dyDescent="0.4">
      <c r="A18" s="11">
        <f t="shared" si="3"/>
        <v>15</v>
      </c>
      <c r="B18" s="8"/>
      <c r="C18" s="12" t="s">
        <v>40</v>
      </c>
      <c r="D18" s="12" t="s">
        <v>26</v>
      </c>
      <c r="E18" s="12"/>
      <c r="F18" s="12"/>
      <c r="G18" s="12"/>
      <c r="H18" s="13">
        <v>60</v>
      </c>
      <c r="I18" s="14">
        <f t="shared" si="0"/>
        <v>70</v>
      </c>
      <c r="J18" s="14">
        <f t="shared" si="1"/>
        <v>65.31</v>
      </c>
      <c r="K18" s="14">
        <f t="shared" si="2"/>
        <v>9.1</v>
      </c>
      <c r="L18" s="14"/>
      <c r="M18" s="14"/>
    </row>
    <row r="19" spans="1:13" s="1" customFormat="1" ht="40" customHeight="1" thickBot="1" x14ac:dyDescent="0.4">
      <c r="A19" s="11">
        <f t="shared" si="3"/>
        <v>16</v>
      </c>
      <c r="B19" s="8"/>
      <c r="C19" s="12" t="s">
        <v>53</v>
      </c>
      <c r="D19" s="12" t="s">
        <v>26</v>
      </c>
      <c r="E19" s="12"/>
      <c r="F19" s="12"/>
      <c r="G19" s="12"/>
      <c r="H19" s="13">
        <v>30</v>
      </c>
      <c r="I19" s="14">
        <f t="shared" si="0"/>
        <v>40</v>
      </c>
      <c r="J19" s="14">
        <f t="shared" si="1"/>
        <v>37.32</v>
      </c>
      <c r="K19" s="14">
        <f t="shared" si="2"/>
        <v>5.2</v>
      </c>
      <c r="L19" s="14"/>
      <c r="M19" s="14"/>
    </row>
    <row r="20" spans="1:13" s="1" customFormat="1" ht="40" customHeight="1" thickBot="1" x14ac:dyDescent="0.4">
      <c r="A20" s="11">
        <f t="shared" si="3"/>
        <v>17</v>
      </c>
      <c r="B20" s="8"/>
      <c r="C20" s="12" t="s">
        <v>25</v>
      </c>
      <c r="D20" s="12" t="s">
        <v>26</v>
      </c>
      <c r="E20" s="12"/>
      <c r="F20" s="12"/>
      <c r="G20" s="12"/>
      <c r="H20" s="13">
        <v>84</v>
      </c>
      <c r="I20" s="14">
        <f t="shared" si="0"/>
        <v>94</v>
      </c>
      <c r="J20" s="14">
        <f t="shared" si="1"/>
        <v>87.701999999999998</v>
      </c>
      <c r="K20" s="14">
        <f t="shared" si="2"/>
        <v>12.22</v>
      </c>
      <c r="L20" s="14"/>
      <c r="M20" s="14"/>
    </row>
    <row r="21" spans="1:13" s="1" customFormat="1" ht="40" customHeight="1" thickBot="1" x14ac:dyDescent="0.4">
      <c r="A21" s="11">
        <f t="shared" si="3"/>
        <v>18</v>
      </c>
      <c r="B21" s="8"/>
      <c r="C21" s="12" t="s">
        <v>44</v>
      </c>
      <c r="D21" s="12" t="s">
        <v>26</v>
      </c>
      <c r="E21" s="12"/>
      <c r="F21" s="12"/>
      <c r="G21" s="12"/>
      <c r="H21" s="13">
        <v>30</v>
      </c>
      <c r="I21" s="14">
        <f t="shared" si="0"/>
        <v>40</v>
      </c>
      <c r="J21" s="14">
        <f t="shared" si="1"/>
        <v>37.32</v>
      </c>
      <c r="K21" s="14">
        <f t="shared" si="2"/>
        <v>5.2</v>
      </c>
      <c r="L21" s="14"/>
      <c r="M21" s="14"/>
    </row>
    <row r="22" spans="1:13" s="1" customFormat="1" ht="40" customHeight="1" thickBot="1" x14ac:dyDescent="0.4">
      <c r="A22" s="11">
        <f t="shared" si="3"/>
        <v>19</v>
      </c>
      <c r="B22" s="8"/>
      <c r="C22" s="12" t="s">
        <v>54</v>
      </c>
      <c r="D22" s="12" t="s">
        <v>26</v>
      </c>
      <c r="E22" s="12"/>
      <c r="F22" s="12"/>
      <c r="G22" s="12"/>
      <c r="H22" s="13">
        <v>30</v>
      </c>
      <c r="I22" s="14">
        <f t="shared" si="0"/>
        <v>40</v>
      </c>
      <c r="J22" s="14">
        <f t="shared" si="1"/>
        <v>37.32</v>
      </c>
      <c r="K22" s="14">
        <f t="shared" ref="K22" si="8">I22*0.13</f>
        <v>5.2</v>
      </c>
      <c r="L22" s="14"/>
      <c r="M22" s="14"/>
    </row>
    <row r="23" spans="1:13" s="1" customFormat="1" ht="40" customHeight="1" thickBot="1" x14ac:dyDescent="0.4">
      <c r="A23" s="11">
        <f t="shared" si="3"/>
        <v>20</v>
      </c>
      <c r="B23" s="8"/>
      <c r="C23" s="12" t="s">
        <v>56</v>
      </c>
      <c r="D23" s="12" t="s">
        <v>26</v>
      </c>
      <c r="E23" s="12"/>
      <c r="F23" s="12"/>
      <c r="G23" s="12"/>
      <c r="H23" s="13">
        <v>54</v>
      </c>
      <c r="I23" s="14">
        <f t="shared" si="0"/>
        <v>64</v>
      </c>
      <c r="J23" s="14">
        <f t="shared" si="1"/>
        <v>59.712000000000003</v>
      </c>
      <c r="K23" s="14">
        <f t="shared" si="2"/>
        <v>8.32</v>
      </c>
      <c r="L23" s="14"/>
      <c r="M23" s="14"/>
    </row>
    <row r="24" spans="1:13" x14ac:dyDescent="0.35">
      <c r="H24">
        <f>SUM(H4:H23)</f>
        <v>750</v>
      </c>
      <c r="I24">
        <f>SUM(I4:I23)</f>
        <v>950</v>
      </c>
      <c r="J24">
        <f t="shared" ref="J24:K24" si="9">SUM(J4:J23)</f>
        <v>886.35000000000025</v>
      </c>
      <c r="K24">
        <f t="shared" si="9"/>
        <v>123.50000000000003</v>
      </c>
    </row>
  </sheetData>
  <mergeCells count="1">
    <mergeCell ref="J2:K2"/>
  </mergeCells>
  <pageMargins left="0.45" right="0.2" top="0.75" bottom="0.75" header="0.3" footer="0.3"/>
  <pageSetup scale="91" orientation="landscape" r:id="rId1"/>
  <headerFooter>
    <oddHeader>&amp;A</oddHeader>
    <oddFooter>Page &amp;P of &amp;N</oddFooter>
  </headerFooter>
  <colBreaks count="1" manualBreakCount="1">
    <brk id="13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WS73503</vt:lpstr>
      <vt:lpstr>WS73150</vt:lpstr>
      <vt:lpstr>WS72823</vt:lpstr>
      <vt:lpstr>WS72818</vt:lpstr>
      <vt:lpstr>WS72817 WS73338</vt:lpstr>
      <vt:lpstr>WS72816</vt:lpstr>
      <vt:lpstr>'WS72816'!Print_Area</vt:lpstr>
      <vt:lpstr>'WS72817 WS73338'!Print_Area</vt:lpstr>
      <vt:lpstr>'WS72818'!Print_Area</vt:lpstr>
      <vt:lpstr>'WS72823'!Print_Area</vt:lpstr>
      <vt:lpstr>'WS73503'!Print_Area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Sair Shafiq ur Rehman</dc:creator>
  <cp:lastModifiedBy>Sair Shafiq ur Rehman</cp:lastModifiedBy>
  <cp:lastPrinted>2026-07-20T08:04:01Z</cp:lastPrinted>
  <dcterms:created xsi:type="dcterms:W3CDTF">2015-06-05T18:17:20Z</dcterms:created>
  <dcterms:modified xsi:type="dcterms:W3CDTF">2026-08-24T17:14:33Z</dcterms:modified>
</cp:coreProperties>
</file>