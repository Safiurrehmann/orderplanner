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2" autoFilterDateGrouping="1"/>
  </bookViews>
  <sheets>
    <sheet name="WS73503" sheetId="1" state="visible" r:id="rId1"/>
    <sheet name="WS73150" sheetId="2" state="visible" r:id="rId2"/>
    <sheet name="WS72823" sheetId="3" state="visible" r:id="rId3"/>
    <sheet name="WS72818" sheetId="4" state="visible" r:id="rId4"/>
    <sheet name="WS72817 WS73338" sheetId="5" state="visible" r:id="rId5"/>
    <sheet name="WS72816" sheetId="6" state="visible" r:id="rId6"/>
  </sheets>
  <definedNames>
    <definedName name="_xlnm.Print_Area" localSheetId="0">'WS73503'!$A$1:$M$5</definedName>
    <definedName name="_xlnm.Print_Area" localSheetId="2">'WS72823'!$A$1:$M$5</definedName>
    <definedName name="_xlnm.Print_Area" localSheetId="3">'WS72818'!$A$1:$M$5</definedName>
    <definedName name="_xlnm.Print_Area" localSheetId="4">'WS72817 WS73338'!$A$1:$M$4</definedName>
    <definedName name="_xlnm.Print_Area" localSheetId="5">'WS72816'!$A$1:$M$5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2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16" fontId="7" fillId="0" borderId="0" applyAlignment="1" pivotButton="0" quotePrefix="0" xfId="0">
      <alignment horizontal="center"/>
    </xf>
    <xf numFmtId="16" fontId="5" fillId="0" borderId="0" pivotButton="0" quotePrefix="0" xfId="0"/>
    <xf numFmtId="0" fontId="6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1" fontId="8" fillId="0" borderId="3" applyAlignment="1" pivotButton="0" quotePrefix="0" xfId="0">
      <alignment horizontal="center" vertical="center"/>
    </xf>
    <xf numFmtId="16" fontId="7" fillId="0" borderId="0" pivotButton="0" quotePrefix="0" xfId="0"/>
    <xf numFmtId="0" fontId="5" fillId="0" borderId="4" applyAlignment="1" pivotButton="0" quotePrefix="0" xfId="0">
      <alignment vertical="center"/>
    </xf>
    <xf numFmtId="1" fontId="0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25400</colOff>
      <row>3</row>
      <rowOff>44450</rowOff>
    </from>
    <to>
      <col>5</col>
      <colOff>1332442</colOff>
      <row>3</row>
      <rowOff>457200</rowOff>
    </to>
    <pic>
      <nvPicPr>
        <cNvPr id="6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89350" y="628650"/>
          <a:ext cx="1307042" cy="412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6</col>
      <colOff>38100</colOff>
      <row>3</row>
      <rowOff>31750</rowOff>
    </from>
    <to>
      <col>6</col>
      <colOff>730250</colOff>
      <row>3</row>
      <rowOff>464048</rowOff>
    </to>
    <pic>
      <nvPicPr>
        <cNvPr id="7" name="Picture 6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060950" y="615950"/>
          <a:ext cx="692150" cy="432298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31750</colOff>
      <row>3</row>
      <rowOff>82550</rowOff>
    </from>
    <to>
      <col>5</col>
      <colOff>1328535</colOff>
      <row>3</row>
      <rowOff>425450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95700" y="666750"/>
          <a:ext cx="1296785" cy="342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6</col>
      <colOff>120650</colOff>
      <row>3</row>
      <rowOff>25400</rowOff>
    </from>
    <to>
      <col>6</col>
      <colOff>693425</colOff>
      <row>3</row>
      <rowOff>482600</rowOff>
    </to>
    <pic>
      <nvPicPr>
        <cNvPr id="3" name="Picture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143500" y="609600"/>
          <a:ext cx="572775" cy="457200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topLeftCell="A25" zoomScaleNormal="100" workbookViewId="0">
      <selection activeCell="E28" sqref="E28"/>
    </sheetView>
  </sheetViews>
  <sheetFormatPr baseColWidth="8" defaultRowHeight="14.5"/>
  <cols>
    <col width="11.36328125" bestFit="1" customWidth="1" min="2" max="2"/>
    <col width="10.7265625" bestFit="1" customWidth="1" min="4" max="4"/>
    <col width="12.90625" bestFit="1" customWidth="1" min="5" max="5"/>
    <col width="19.453125" customWidth="1" min="6" max="6"/>
    <col width="11.1796875" bestFit="1" customWidth="1" min="7" max="7"/>
    <col width="4.81640625" bestFit="1" customWidth="1" min="8" max="8"/>
    <col width="10.08984375" customWidth="1" min="9" max="9"/>
    <col width="7.1796875" bestFit="1" customWidth="1" min="10" max="10"/>
    <col width="8.54296875" bestFit="1" customWidth="1" min="11" max="11"/>
    <col width="25.453125" customWidth="1" min="12" max="12"/>
    <col width="26.08984375" customWidth="1" min="13" max="13"/>
  </cols>
  <sheetData>
    <row r="1" ht="15" customFormat="1" customHeight="1" s="1" thickBot="1">
      <c r="A1" s="1" t="inlineStr">
        <is>
          <t>CONTRACT PK</t>
        </is>
      </c>
      <c r="C1" s="2" t="n"/>
      <c r="E1" s="1" t="inlineStr">
        <is>
          <t>LABEL</t>
        </is>
      </c>
      <c r="F1" s="1" t="inlineStr">
        <is>
          <t>PRESSBOX</t>
        </is>
      </c>
      <c r="H1" s="3" t="n"/>
      <c r="I1" s="2" t="inlineStr">
        <is>
          <t>ROYCE APPAREL</t>
        </is>
      </c>
    </row>
    <row r="2" ht="15" customFormat="1" customHeight="1" s="1" thickBot="1">
      <c r="A2" s="1" t="inlineStr">
        <is>
          <t>MOCKTAIL</t>
        </is>
      </c>
      <c r="C2" s="1" t="inlineStr">
        <is>
          <t>WS #</t>
        </is>
      </c>
      <c r="D2" s="1" t="n">
        <v>73503</v>
      </c>
      <c r="E2" s="4" t="inlineStr">
        <is>
          <t>SHIP DATE</t>
        </is>
      </c>
      <c r="F2" s="15" t="n"/>
      <c r="G2" s="15" t="n"/>
      <c r="H2" s="5" t="n"/>
      <c r="I2" s="6" t="n"/>
      <c r="J2" s="20" t="inlineStr">
        <is>
          <t>Color 1</t>
        </is>
      </c>
      <c r="K2" s="21" t="n"/>
      <c r="M2" s="7" t="n"/>
    </row>
    <row r="3" ht="16" customFormat="1" customHeight="1" s="1" thickBot="1">
      <c r="A3" s="8" t="inlineStr">
        <is>
          <t>SR #</t>
        </is>
      </c>
      <c r="B3" s="8" t="inlineStr">
        <is>
          <t>CONTRACT #</t>
        </is>
      </c>
      <c r="C3" s="8" t="inlineStr">
        <is>
          <t>EMB</t>
        </is>
      </c>
      <c r="D3" s="8" t="inlineStr">
        <is>
          <t>MAIN BODY</t>
        </is>
      </c>
      <c r="E3" s="8" t="inlineStr">
        <is>
          <t>APPLIQUE</t>
        </is>
      </c>
      <c r="F3" s="8" t="inlineStr">
        <is>
          <t>BACK EMBROIDERY</t>
        </is>
      </c>
      <c r="G3" s="8" t="inlineStr">
        <is>
          <t>FRONT  EMB</t>
        </is>
      </c>
      <c r="H3" s="9" t="n"/>
      <c r="I3" s="10" t="inlineStr">
        <is>
          <t>QUANTITY</t>
        </is>
      </c>
      <c r="J3" s="10" t="inlineStr">
        <is>
          <t>FLEECE</t>
        </is>
      </c>
      <c r="K3" s="10" t="inlineStr">
        <is>
          <t>2 X 1 RIB</t>
        </is>
      </c>
      <c r="L3" s="10" t="inlineStr">
        <is>
          <t>TO &amp; DATE</t>
        </is>
      </c>
      <c r="M3" s="10" t="inlineStr">
        <is>
          <t>RETURN DATE</t>
        </is>
      </c>
      <c r="O3" s="7" t="n">
        <v>46316</v>
      </c>
    </row>
    <row r="4" ht="40" customFormat="1" customHeight="1" s="1" thickBot="1">
      <c r="A4" s="11" t="n">
        <v>1</v>
      </c>
      <c r="B4" s="8" t="n"/>
      <c r="C4" s="12" t="inlineStr">
        <is>
          <t>ARZ</t>
        </is>
      </c>
      <c r="D4" s="12" t="inlineStr">
        <is>
          <t>IVR-</t>
        </is>
      </c>
      <c r="E4" s="12" t="n"/>
      <c r="F4" s="12" t="n"/>
      <c r="G4" s="12" t="n"/>
      <c r="H4" s="13" t="n">
        <v>48</v>
      </c>
      <c r="I4" s="14">
        <f>H4+10</f>
        <v/>
      </c>
      <c r="J4" s="14">
        <f>I4*0.933</f>
        <v/>
      </c>
      <c r="K4" s="14">
        <f>I4*0.13</f>
        <v/>
      </c>
      <c r="L4" s="14" t="n"/>
      <c r="M4" s="14" t="n"/>
    </row>
    <row r="5" ht="40" customFormat="1" customHeight="1" s="1" thickBot="1">
      <c r="A5" s="11">
        <f>A4+1</f>
        <v/>
      </c>
      <c r="B5" s="8" t="n"/>
      <c r="C5" s="12" t="inlineStr">
        <is>
          <t>CIN</t>
        </is>
      </c>
      <c r="D5" s="12" t="inlineStr">
        <is>
          <t>IVR-</t>
        </is>
      </c>
      <c r="E5" s="12" t="n"/>
      <c r="F5" s="12" t="n"/>
      <c r="G5" s="12" t="n"/>
      <c r="H5" s="13" t="n">
        <v>48</v>
      </c>
      <c r="I5" s="14">
        <f>H5+10</f>
        <v/>
      </c>
      <c r="J5" s="14">
        <f>I5*0.933</f>
        <v/>
      </c>
      <c r="K5" s="14">
        <f>I5*0.13</f>
        <v/>
      </c>
      <c r="L5" s="14" t="n"/>
      <c r="M5" s="14" t="n"/>
    </row>
    <row r="6" ht="40" customFormat="1" customHeight="1" s="1" thickBot="1">
      <c r="A6" s="11">
        <f>A5+1</f>
        <v/>
      </c>
      <c r="B6" s="8" t="n"/>
      <c r="C6" s="12" t="inlineStr">
        <is>
          <t>CLE</t>
        </is>
      </c>
      <c r="D6" s="12" t="inlineStr">
        <is>
          <t>IVR-</t>
        </is>
      </c>
      <c r="E6" s="12" t="n"/>
      <c r="F6" s="12" t="n"/>
      <c r="G6" s="12" t="n"/>
      <c r="H6" s="13" t="n">
        <v>48</v>
      </c>
      <c r="I6" s="14">
        <f>H6+10</f>
        <v/>
      </c>
      <c r="J6" s="14">
        <f>I6*0.933</f>
        <v/>
      </c>
      <c r="K6" s="14">
        <f>I6*0.13</f>
        <v/>
      </c>
      <c r="L6" s="14" t="n"/>
      <c r="M6" s="14" t="n"/>
    </row>
    <row r="7" ht="40" customFormat="1" customHeight="1" s="1" thickBot="1">
      <c r="A7" s="11">
        <f>A6+1</f>
        <v/>
      </c>
      <c r="B7" s="8" t="n"/>
      <c r="C7" s="12" t="inlineStr">
        <is>
          <t>COL</t>
        </is>
      </c>
      <c r="D7" s="12" t="inlineStr">
        <is>
          <t>IVR-</t>
        </is>
      </c>
      <c r="E7" s="12" t="n"/>
      <c r="F7" s="12" t="n"/>
      <c r="G7" s="12" t="n"/>
      <c r="H7" s="13" t="n">
        <v>48</v>
      </c>
      <c r="I7" s="14">
        <f>H7+10</f>
        <v/>
      </c>
      <c r="J7" s="14">
        <f>I7*0.933</f>
        <v/>
      </c>
      <c r="K7" s="14">
        <f>I7*0.13</f>
        <v/>
      </c>
      <c r="L7" s="14" t="n"/>
      <c r="M7" s="14" t="n"/>
    </row>
    <row r="8" ht="40" customFormat="1" customHeight="1" s="1" thickBot="1">
      <c r="A8" s="11">
        <f>A7+1</f>
        <v/>
      </c>
      <c r="B8" s="8" t="n"/>
      <c r="C8" s="12" t="inlineStr">
        <is>
          <t>DUK</t>
        </is>
      </c>
      <c r="D8" s="12" t="inlineStr">
        <is>
          <t>IVR-</t>
        </is>
      </c>
      <c r="E8" s="12" t="n"/>
      <c r="F8" s="12" t="n"/>
      <c r="G8" s="12" t="n"/>
      <c r="H8" s="13" t="n">
        <v>48</v>
      </c>
      <c r="I8" s="14">
        <f>H8+10</f>
        <v/>
      </c>
      <c r="J8" s="14">
        <f>I8*0.933</f>
        <v/>
      </c>
      <c r="K8" s="14">
        <f>I8*0.13</f>
        <v/>
      </c>
      <c r="L8" s="14" t="n"/>
      <c r="M8" s="14" t="n"/>
    </row>
    <row r="9" ht="40" customFormat="1" customHeight="1" s="1" thickBot="1">
      <c r="A9" s="11">
        <f>A8+1</f>
        <v/>
      </c>
      <c r="B9" s="8" t="n"/>
      <c r="C9" s="12" t="inlineStr">
        <is>
          <t>GMU</t>
        </is>
      </c>
      <c r="D9" s="12" t="inlineStr">
        <is>
          <t>IVR-</t>
        </is>
      </c>
      <c r="E9" s="12" t="n"/>
      <c r="F9" s="12" t="n"/>
      <c r="G9" s="12" t="n"/>
      <c r="H9" s="13" t="n">
        <v>72</v>
      </c>
      <c r="I9" s="14">
        <f>H9+10</f>
        <v/>
      </c>
      <c r="J9" s="14">
        <f>I9*0.933</f>
        <v/>
      </c>
      <c r="K9" s="14">
        <f>I9*0.13</f>
        <v/>
      </c>
      <c r="L9" s="14" t="n"/>
      <c r="M9" s="14" t="n"/>
    </row>
    <row r="10" ht="40" customFormat="1" customHeight="1" s="1" thickBot="1">
      <c r="A10" s="11">
        <f>A9+1</f>
        <v/>
      </c>
      <c r="B10" s="8" t="n"/>
      <c r="C10" s="12" t="inlineStr">
        <is>
          <t>ILL</t>
        </is>
      </c>
      <c r="D10" s="12" t="inlineStr">
        <is>
          <t>IVR-</t>
        </is>
      </c>
      <c r="E10" s="12" t="n"/>
      <c r="F10" s="12" t="n"/>
      <c r="G10" s="12" t="n"/>
      <c r="H10" s="13" t="n">
        <v>48</v>
      </c>
      <c r="I10" s="14">
        <f>H10+10</f>
        <v/>
      </c>
      <c r="J10" s="14">
        <f>I10*0.933</f>
        <v/>
      </c>
      <c r="K10" s="14">
        <f>I10*0.13</f>
        <v/>
      </c>
      <c r="L10" s="14" t="n"/>
      <c r="M10" s="14" t="n"/>
    </row>
    <row r="11" ht="40" customFormat="1" customHeight="1" s="1" thickBot="1">
      <c r="A11" s="11">
        <f>A10+1</f>
        <v/>
      </c>
      <c r="B11" s="8" t="n"/>
      <c r="C11" s="12" t="inlineStr">
        <is>
          <t>IND</t>
        </is>
      </c>
      <c r="D11" s="12" t="inlineStr">
        <is>
          <t>IVR-</t>
        </is>
      </c>
      <c r="E11" s="12" t="n"/>
      <c r="F11" s="12" t="n"/>
      <c r="G11" s="12" t="n"/>
      <c r="H11" s="13" t="n">
        <v>72</v>
      </c>
      <c r="I11" s="14">
        <f>H11+10</f>
        <v/>
      </c>
      <c r="J11" s="14">
        <f>I11*0.933</f>
        <v/>
      </c>
      <c r="K11" s="14">
        <f>I11*0.13</f>
        <v/>
      </c>
      <c r="L11" s="14" t="n"/>
      <c r="M11" s="14" t="n"/>
    </row>
    <row r="12" ht="40" customFormat="1" customHeight="1" s="1" thickBot="1">
      <c r="A12" s="11">
        <f>A11+1</f>
        <v/>
      </c>
      <c r="B12" s="8" t="n"/>
      <c r="C12" s="12" t="inlineStr">
        <is>
          <t>ISU</t>
        </is>
      </c>
      <c r="D12" s="12" t="inlineStr">
        <is>
          <t>IVR-</t>
        </is>
      </c>
      <c r="E12" s="12" t="n"/>
      <c r="F12" s="12" t="n"/>
      <c r="G12" s="12" t="n"/>
      <c r="H12" s="13" t="n">
        <v>60</v>
      </c>
      <c r="I12" s="14">
        <f>H12+10</f>
        <v/>
      </c>
      <c r="J12" s="14">
        <f>I12*0.933</f>
        <v/>
      </c>
      <c r="K12" s="14">
        <f>I12*0.13</f>
        <v/>
      </c>
      <c r="L12" s="14" t="n"/>
      <c r="M12" s="14" t="n"/>
    </row>
    <row r="13" ht="40" customFormat="1" customHeight="1" s="1" thickBot="1">
      <c r="A13" s="11">
        <f>A12+1</f>
        <v/>
      </c>
      <c r="B13" s="8" t="n"/>
      <c r="C13" s="12" t="inlineStr">
        <is>
          <t>KAN</t>
        </is>
      </c>
      <c r="D13" s="12" t="inlineStr">
        <is>
          <t>IVR-</t>
        </is>
      </c>
      <c r="E13" s="12" t="n"/>
      <c r="F13" s="12" t="n"/>
      <c r="G13" s="12" t="n"/>
      <c r="H13" s="13" t="n">
        <v>72</v>
      </c>
      <c r="I13" s="14">
        <f>H13+10</f>
        <v/>
      </c>
      <c r="J13" s="14">
        <f>I13*0.933</f>
        <v/>
      </c>
      <c r="K13" s="14">
        <f>I13*0.13</f>
        <v/>
      </c>
      <c r="L13" s="14" t="n"/>
      <c r="M13" s="14" t="n"/>
    </row>
    <row r="14" ht="40" customFormat="1" customHeight="1" s="1" thickBot="1">
      <c r="A14" s="11">
        <f>A13+1</f>
        <v/>
      </c>
      <c r="B14" s="8" t="n"/>
      <c r="C14" s="12" t="inlineStr">
        <is>
          <t>KSU</t>
        </is>
      </c>
      <c r="D14" s="12" t="inlineStr">
        <is>
          <t>IVR-</t>
        </is>
      </c>
      <c r="E14" s="12" t="n"/>
      <c r="F14" s="12" t="n"/>
      <c r="G14" s="12" t="n"/>
      <c r="H14" s="13" t="n">
        <v>48</v>
      </c>
      <c r="I14" s="14">
        <f>H14+10</f>
        <v/>
      </c>
      <c r="J14" s="14">
        <f>I14*0.933</f>
        <v/>
      </c>
      <c r="K14" s="14">
        <f>I14*0.13</f>
        <v/>
      </c>
      <c r="L14" s="14" t="n"/>
      <c r="M14" s="14" t="n"/>
    </row>
    <row r="15" ht="40" customFormat="1" customHeight="1" s="1" thickBot="1">
      <c r="A15" s="11">
        <f>A14+1</f>
        <v/>
      </c>
      <c r="B15" s="8" t="n"/>
      <c r="C15" s="12" t="inlineStr">
        <is>
          <t>MSS</t>
        </is>
      </c>
      <c r="D15" s="12" t="inlineStr">
        <is>
          <t>IVR-</t>
        </is>
      </c>
      <c r="E15" s="12" t="n"/>
      <c r="F15" s="12" t="n"/>
      <c r="G15" s="12" t="n"/>
      <c r="H15" s="13" t="n">
        <v>48</v>
      </c>
      <c r="I15" s="14">
        <f>H15+10</f>
        <v/>
      </c>
      <c r="J15" s="14">
        <f>I15*0.933</f>
        <v/>
      </c>
      <c r="K15" s="14">
        <f>I15*0.13</f>
        <v/>
      </c>
      <c r="L15" s="14" t="n"/>
      <c r="M15" s="14" t="n"/>
    </row>
    <row r="16" ht="40" customFormat="1" customHeight="1" s="1" thickBot="1">
      <c r="A16" s="11">
        <f>A15+1</f>
        <v/>
      </c>
      <c r="B16" s="8" t="n"/>
      <c r="C16" s="12" t="inlineStr">
        <is>
          <t>NEB</t>
        </is>
      </c>
      <c r="D16" s="12" t="inlineStr">
        <is>
          <t>IVR-</t>
        </is>
      </c>
      <c r="E16" s="12" t="n"/>
      <c r="F16" s="12" t="n"/>
      <c r="G16" s="12" t="n"/>
      <c r="H16" s="13" t="n">
        <v>96</v>
      </c>
      <c r="I16" s="14">
        <f>H16+10</f>
        <v/>
      </c>
      <c r="J16" s="14">
        <f>I16*0.933</f>
        <v/>
      </c>
      <c r="K16" s="14">
        <f>I16*0.13</f>
        <v/>
      </c>
      <c r="L16" s="14" t="n"/>
      <c r="M16" s="14" t="n"/>
    </row>
    <row r="17" ht="40" customFormat="1" customHeight="1" s="1" thickBot="1">
      <c r="A17" s="11">
        <f>A16+1</f>
        <v/>
      </c>
      <c r="B17" s="8" t="n"/>
      <c r="C17" s="12" t="inlineStr">
        <is>
          <t>NTD</t>
        </is>
      </c>
      <c r="D17" s="12" t="inlineStr">
        <is>
          <t>IVR-</t>
        </is>
      </c>
      <c r="E17" s="12" t="n"/>
      <c r="F17" s="12" t="n"/>
      <c r="G17" s="12" t="n"/>
      <c r="H17" s="13" t="n">
        <v>48</v>
      </c>
      <c r="I17" s="14">
        <f>H17+10</f>
        <v/>
      </c>
      <c r="J17" s="14">
        <f>I17*0.933</f>
        <v/>
      </c>
      <c r="K17" s="14">
        <f>I17*0.13</f>
        <v/>
      </c>
      <c r="L17" s="14" t="n"/>
      <c r="M17" s="14" t="n"/>
    </row>
    <row r="18" ht="40" customFormat="1" customHeight="1" s="1" thickBot="1">
      <c r="A18" s="11">
        <f>A17+1</f>
        <v/>
      </c>
      <c r="B18" s="8" t="n"/>
      <c r="C18" s="12" t="inlineStr">
        <is>
          <t>OKL</t>
        </is>
      </c>
      <c r="D18" s="12" t="inlineStr">
        <is>
          <t>IVR-</t>
        </is>
      </c>
      <c r="E18" s="12" t="n"/>
      <c r="F18" s="12" t="n"/>
      <c r="G18" s="12" t="n"/>
      <c r="H18" s="13" t="n">
        <v>96</v>
      </c>
      <c r="I18" s="14">
        <f>H18+10</f>
        <v/>
      </c>
      <c r="J18" s="14">
        <f>I18*0.933</f>
        <v/>
      </c>
      <c r="K18" s="14">
        <f>I18*0.13</f>
        <v/>
      </c>
      <c r="L18" s="14" t="n"/>
      <c r="M18" s="14" t="n"/>
    </row>
    <row r="19" ht="40" customFormat="1" customHeight="1" s="1" thickBot="1">
      <c r="A19" s="11">
        <f>A18+1</f>
        <v/>
      </c>
      <c r="B19" s="8" t="n"/>
      <c r="C19" s="12" t="inlineStr">
        <is>
          <t>OSU</t>
        </is>
      </c>
      <c r="D19" s="12" t="inlineStr">
        <is>
          <t>IVR-</t>
        </is>
      </c>
      <c r="E19" s="12" t="n"/>
      <c r="F19" s="12" t="n"/>
      <c r="G19" s="12" t="n"/>
      <c r="H19" s="13" t="n">
        <v>72</v>
      </c>
      <c r="I19" s="14">
        <f>H19+10</f>
        <v/>
      </c>
      <c r="J19" s="14">
        <f>I19*0.933</f>
        <v/>
      </c>
      <c r="K19" s="14">
        <f>I19*0.13</f>
        <v/>
      </c>
      <c r="L19" s="14" t="n"/>
      <c r="M19" s="14" t="n"/>
    </row>
    <row r="20" ht="40" customFormat="1" customHeight="1" s="1" thickBot="1">
      <c r="A20" s="11">
        <f>A19+1</f>
        <v/>
      </c>
      <c r="B20" s="8" t="n"/>
      <c r="C20" s="12" t="inlineStr">
        <is>
          <t>PSU</t>
        </is>
      </c>
      <c r="D20" s="12" t="inlineStr">
        <is>
          <t>IVR-</t>
        </is>
      </c>
      <c r="E20" s="12" t="n"/>
      <c r="F20" s="12" t="n"/>
      <c r="G20" s="12" t="n"/>
      <c r="H20" s="13" t="n">
        <v>72</v>
      </c>
      <c r="I20" s="14">
        <f>H20+10</f>
        <v/>
      </c>
      <c r="J20" s="14">
        <f>I20*0.933</f>
        <v/>
      </c>
      <c r="K20" s="14">
        <f>I20*0.13</f>
        <v/>
      </c>
      <c r="L20" s="14" t="n"/>
      <c r="M20" s="14" t="n"/>
    </row>
    <row r="21" ht="40" customFormat="1" customHeight="1" s="1" thickBot="1">
      <c r="A21" s="11">
        <f>A20+1</f>
        <v/>
      </c>
      <c r="B21" s="8" t="n"/>
      <c r="C21" s="12" t="inlineStr">
        <is>
          <t>TAM</t>
        </is>
      </c>
      <c r="D21" s="12" t="inlineStr">
        <is>
          <t>IVR-</t>
        </is>
      </c>
      <c r="E21" s="12" t="n"/>
      <c r="F21" s="12" t="n"/>
      <c r="G21" s="12" t="n"/>
      <c r="H21" s="13" t="n">
        <v>72</v>
      </c>
      <c r="I21" s="14">
        <f>H21+10</f>
        <v/>
      </c>
      <c r="J21" s="14">
        <f>I21*0.933</f>
        <v/>
      </c>
      <c r="K21" s="14">
        <f>I21*0.13</f>
        <v/>
      </c>
      <c r="L21" s="14" t="n"/>
      <c r="M21" s="14" t="n"/>
    </row>
    <row r="22" ht="40" customFormat="1" customHeight="1" s="1" thickBot="1">
      <c r="A22" s="11">
        <f>A21+1</f>
        <v/>
      </c>
      <c r="B22" s="8" t="n"/>
      <c r="C22" s="12" t="inlineStr">
        <is>
          <t>TTU</t>
        </is>
      </c>
      <c r="D22" s="12" t="inlineStr">
        <is>
          <t>IVR-</t>
        </is>
      </c>
      <c r="E22" s="12" t="n"/>
      <c r="F22" s="12" t="n"/>
      <c r="G22" s="12" t="n"/>
      <c r="H22" s="13" t="n">
        <v>72</v>
      </c>
      <c r="I22" s="14">
        <f>H22+10</f>
        <v/>
      </c>
      <c r="J22" s="14">
        <f>I22*0.933</f>
        <v/>
      </c>
      <c r="K22" s="14">
        <f>I22*0.13</f>
        <v/>
      </c>
      <c r="L22" s="14" t="n"/>
      <c r="M22" s="14" t="n"/>
    </row>
    <row r="23" ht="40" customFormat="1" customHeight="1" s="1" thickBot="1">
      <c r="A23" s="11">
        <f>A22+1</f>
        <v/>
      </c>
      <c r="B23" s="8" t="n"/>
      <c r="C23" s="12" t="inlineStr">
        <is>
          <t>UCN</t>
        </is>
      </c>
      <c r="D23" s="12" t="inlineStr">
        <is>
          <t>IVR-</t>
        </is>
      </c>
      <c r="E23" s="12" t="n"/>
      <c r="F23" s="12" t="n"/>
      <c r="G23" s="12" t="n"/>
      <c r="H23" s="13" t="n">
        <v>48</v>
      </c>
      <c r="I23" s="14">
        <f>H23+10</f>
        <v/>
      </c>
      <c r="J23" s="14">
        <f>I23*0.933</f>
        <v/>
      </c>
      <c r="K23" s="14">
        <f>I23*0.13</f>
        <v/>
      </c>
      <c r="L23" s="14" t="n"/>
      <c r="M23" s="14" t="n"/>
    </row>
    <row r="24" ht="40" customFormat="1" customHeight="1" s="1" thickBot="1">
      <c r="A24" s="11">
        <f>A23+1</f>
        <v/>
      </c>
      <c r="B24" s="8" t="n"/>
      <c r="C24" s="12" t="inlineStr">
        <is>
          <t>UMI</t>
        </is>
      </c>
      <c r="D24" s="12" t="inlineStr">
        <is>
          <t>IVR-</t>
        </is>
      </c>
      <c r="E24" s="12" t="n"/>
      <c r="F24" s="12" t="n"/>
      <c r="G24" s="12" t="n"/>
      <c r="H24" s="13" t="n">
        <v>96</v>
      </c>
      <c r="I24" s="14">
        <f>H24+10</f>
        <v/>
      </c>
      <c r="J24" s="14">
        <f>I24*0.933</f>
        <v/>
      </c>
      <c r="K24" s="14">
        <f>I24*0.13</f>
        <v/>
      </c>
      <c r="L24" s="14" t="n"/>
      <c r="M24" s="14" t="n"/>
    </row>
    <row r="25" ht="40" customFormat="1" customHeight="1" s="1" thickBot="1">
      <c r="A25" s="11">
        <f>A24+1</f>
        <v/>
      </c>
      <c r="B25" s="8" t="n"/>
      <c r="C25" s="12" t="inlineStr">
        <is>
          <t>UMO</t>
        </is>
      </c>
      <c r="D25" s="12" t="inlineStr">
        <is>
          <t>IVR-</t>
        </is>
      </c>
      <c r="E25" s="12" t="n"/>
      <c r="F25" s="12" t="n"/>
      <c r="G25" s="12" t="n"/>
      <c r="H25" s="13" t="n">
        <v>72</v>
      </c>
      <c r="I25" s="14">
        <f>H25+10</f>
        <v/>
      </c>
      <c r="J25" s="14">
        <f>I25*0.933</f>
        <v/>
      </c>
      <c r="K25" s="14">
        <f>I25*0.13</f>
        <v/>
      </c>
      <c r="L25" s="14" t="n"/>
      <c r="M25" s="14" t="n"/>
    </row>
    <row r="26" ht="40" customFormat="1" customHeight="1" s="1" thickBot="1">
      <c r="A26" s="11">
        <f>A25+1</f>
        <v/>
      </c>
      <c r="B26" s="8" t="n"/>
      <c r="C26" s="12" t="inlineStr">
        <is>
          <t>UNC</t>
        </is>
      </c>
      <c r="D26" s="12" t="inlineStr">
        <is>
          <t>IVR-</t>
        </is>
      </c>
      <c r="E26" s="12" t="n"/>
      <c r="F26" s="12" t="n"/>
      <c r="G26" s="12" t="n"/>
      <c r="H26" s="13" t="n">
        <v>48</v>
      </c>
      <c r="I26" s="14">
        <f>H26+10</f>
        <v/>
      </c>
      <c r="J26" s="14">
        <f>I26*0.933</f>
        <v/>
      </c>
      <c r="K26" s="14">
        <f>I26*0.13</f>
        <v/>
      </c>
      <c r="L26" s="14" t="n"/>
      <c r="M26" s="14" t="n"/>
    </row>
    <row r="27" ht="40" customFormat="1" customHeight="1" s="1" thickBot="1">
      <c r="A27" s="11">
        <f>A26+1</f>
        <v/>
      </c>
      <c r="B27" s="8" t="n"/>
      <c r="C27" s="12" t="inlineStr">
        <is>
          <t>WMY</t>
        </is>
      </c>
      <c r="D27" s="12" t="inlineStr">
        <is>
          <t>IVR-</t>
        </is>
      </c>
      <c r="E27" s="12" t="n"/>
      <c r="F27" s="12" t="n"/>
      <c r="G27" s="12" t="n"/>
      <c r="H27" s="13" t="n">
        <v>48</v>
      </c>
      <c r="I27" s="14">
        <f>H27+10</f>
        <v/>
      </c>
      <c r="J27" s="14">
        <f>I27*0.933</f>
        <v/>
      </c>
      <c r="K27" s="14">
        <f>I27*0.13</f>
        <v/>
      </c>
      <c r="L27" s="14" t="n"/>
      <c r="M27" s="14" t="n"/>
    </row>
    <row r="28">
      <c r="H28">
        <f>SUM(H4:H27)</f>
        <v/>
      </c>
      <c r="I28">
        <f>SUM(I4:I27)</f>
        <v/>
      </c>
    </row>
  </sheetData>
  <mergeCells count="1">
    <mergeCell ref="J2:K2"/>
  </mergeCells>
  <pageMargins left="0.45" right="0.2" top="0.75" bottom="0.75" header="0.3" footer="0.3"/>
  <pageSetup orientation="landscape" scale="91"/>
  <colBreaks count="1" manualBreakCount="1">
    <brk id="13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F10" sqref="F10"/>
    </sheetView>
  </sheetViews>
  <sheetFormatPr baseColWidth="8" defaultRowHeight="14.5"/>
  <cols>
    <col width="11.36328125" bestFit="1" customWidth="1" min="2" max="2"/>
    <col width="10.7265625" bestFit="1" customWidth="1" min="4" max="4"/>
    <col width="12.90625" bestFit="1" customWidth="1" min="5" max="5"/>
    <col width="19.453125" customWidth="1" min="6" max="6"/>
    <col width="10.90625" customWidth="1" min="7" max="7"/>
    <col hidden="1" width="3.81640625" customWidth="1" min="8" max="8"/>
    <col width="10.08984375" customWidth="1" min="9" max="9"/>
    <col hidden="1" width="7.1796875" customWidth="1" min="10" max="10"/>
    <col hidden="1" width="8.54296875" customWidth="1" min="11" max="11"/>
    <col width="25.453125" customWidth="1" min="12" max="12"/>
    <col width="26.08984375" customWidth="1" min="13" max="13"/>
  </cols>
  <sheetData>
    <row r="1" ht="15" customFormat="1" customHeight="1" s="1" thickBot="1">
      <c r="A1" s="1" t="inlineStr">
        <is>
          <t>CONTRACT # PK</t>
        </is>
      </c>
      <c r="C1" s="2" t="n"/>
      <c r="E1" s="1" t="inlineStr">
        <is>
          <t>LABEL</t>
        </is>
      </c>
      <c r="F1" s="1" t="inlineStr">
        <is>
          <t>ROYCE BRAND</t>
        </is>
      </c>
      <c r="H1" s="3" t="n"/>
      <c r="I1" s="2" t="n"/>
    </row>
    <row r="2" ht="15" customFormat="1" customHeight="1" s="1" thickBot="1">
      <c r="A2" s="1" t="inlineStr">
        <is>
          <t>MOCKTAIL</t>
        </is>
      </c>
      <c r="C2" s="1" t="inlineStr">
        <is>
          <t>WS #</t>
        </is>
      </c>
      <c r="D2" s="1" t="n">
        <v>73150</v>
      </c>
      <c r="E2" s="4" t="inlineStr">
        <is>
          <t>SHIP DATE</t>
        </is>
      </c>
      <c r="F2" s="15" t="n"/>
      <c r="G2" s="15" t="n"/>
      <c r="H2" s="5" t="n"/>
      <c r="I2" s="6" t="n"/>
      <c r="J2" s="20" t="inlineStr">
        <is>
          <t>Color 1</t>
        </is>
      </c>
      <c r="K2" s="21" t="n"/>
      <c r="M2" s="7" t="n"/>
    </row>
    <row r="3" ht="16" customFormat="1" customHeight="1" s="1" thickBot="1">
      <c r="A3" s="8" t="inlineStr">
        <is>
          <t>SR #</t>
        </is>
      </c>
      <c r="B3" s="8" t="inlineStr">
        <is>
          <t>CONTRACT #</t>
        </is>
      </c>
      <c r="C3" s="8" t="inlineStr">
        <is>
          <t>EMB</t>
        </is>
      </c>
      <c r="D3" s="8" t="inlineStr">
        <is>
          <t>MAIN BODY</t>
        </is>
      </c>
      <c r="E3" s="8" t="inlineStr">
        <is>
          <t>APPLIQUE</t>
        </is>
      </c>
      <c r="F3" s="8" t="inlineStr">
        <is>
          <t>BACK EMBROIDERY</t>
        </is>
      </c>
      <c r="G3" s="8" t="inlineStr">
        <is>
          <t>FRONT  EMB</t>
        </is>
      </c>
      <c r="H3" s="9" t="n"/>
      <c r="I3" s="10" t="inlineStr">
        <is>
          <t>QUANTITY</t>
        </is>
      </c>
      <c r="J3" s="10" t="inlineStr">
        <is>
          <t>FLEECE</t>
        </is>
      </c>
      <c r="K3" s="10" t="inlineStr">
        <is>
          <t>2 X 1 RIB</t>
        </is>
      </c>
      <c r="L3" s="10" t="inlineStr">
        <is>
          <t>TO &amp; DATE</t>
        </is>
      </c>
      <c r="M3" s="10" t="inlineStr">
        <is>
          <t>RETURN DATE</t>
        </is>
      </c>
      <c r="O3" s="7" t="n"/>
    </row>
    <row r="4" ht="40" customFormat="1" customHeight="1" s="1" thickBot="1">
      <c r="A4" s="11" t="n">
        <v>1</v>
      </c>
      <c r="B4" s="8" t="n"/>
      <c r="C4" s="12" t="inlineStr">
        <is>
          <t>RGD</t>
        </is>
      </c>
      <c r="D4" s="12" t="inlineStr">
        <is>
          <t>IVR</t>
        </is>
      </c>
      <c r="E4" s="12" t="inlineStr">
        <is>
          <t>PLAID</t>
        </is>
      </c>
      <c r="F4" s="12" t="inlineStr">
        <is>
          <t>MERRY CHRISTMAS</t>
        </is>
      </c>
      <c r="G4" s="12" t="n"/>
      <c r="H4" s="13" t="n">
        <v>180</v>
      </c>
      <c r="I4" s="14">
        <f>H4+6</f>
        <v/>
      </c>
      <c r="J4" s="14">
        <f>I4*0.933</f>
        <v/>
      </c>
      <c r="K4" s="14">
        <f>I4*0.13</f>
        <v/>
      </c>
      <c r="L4" s="14" t="n"/>
      <c r="M4" s="14" t="n"/>
    </row>
    <row r="5">
      <c r="F5" s="16" t="n"/>
      <c r="G5" s="16" t="n"/>
      <c r="H5">
        <f>SUM(H4:H4)</f>
        <v/>
      </c>
      <c r="I5" s="17">
        <f>SUM(I4:I4)</f>
        <v/>
      </c>
    </row>
  </sheetData>
  <mergeCells count="1">
    <mergeCell ref="J2:K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zoomScaleNormal="100" workbookViewId="0">
      <selection activeCell="D5" sqref="D5"/>
    </sheetView>
  </sheetViews>
  <sheetFormatPr baseColWidth="8" defaultRowHeight="14.5"/>
  <cols>
    <col width="11.36328125" bestFit="1" customWidth="1" min="2" max="2"/>
    <col width="10.7265625" bestFit="1" customWidth="1" min="4" max="4"/>
    <col width="12.90625" bestFit="1" customWidth="1" min="5" max="5"/>
    <col width="27" customWidth="1" min="6" max="6"/>
    <col width="13" bestFit="1" customWidth="1" min="7" max="7"/>
    <col width="4.81640625" bestFit="1" customWidth="1" min="8" max="8"/>
    <col width="10.08984375" customWidth="1" min="9" max="9"/>
    <col width="7.1796875" bestFit="1" customWidth="1" min="10" max="10"/>
    <col width="8.54296875" bestFit="1" customWidth="1" min="11" max="11"/>
    <col width="25.453125" customWidth="1" min="12" max="12"/>
    <col width="26.08984375" customWidth="1" min="13" max="13"/>
  </cols>
  <sheetData>
    <row r="1" ht="15" customFormat="1" customHeight="1" s="1" thickBot="1">
      <c r="A1" s="1" t="inlineStr">
        <is>
          <t>TEAM PK</t>
        </is>
      </c>
      <c r="C1" s="2" t="n"/>
      <c r="E1" s="1" t="inlineStr">
        <is>
          <t>LABEL</t>
        </is>
      </c>
      <c r="F1" s="1" t="inlineStr">
        <is>
          <t>PRESSBOX</t>
        </is>
      </c>
      <c r="H1" s="3" t="n"/>
      <c r="I1" s="2" t="inlineStr">
        <is>
          <t>ROYCE APPAREL</t>
        </is>
      </c>
    </row>
    <row r="2" ht="15" customFormat="1" customHeight="1" s="1" thickBot="1">
      <c r="A2" s="1" t="inlineStr">
        <is>
          <t>MOCKTAIL</t>
        </is>
      </c>
      <c r="C2" s="1" t="inlineStr">
        <is>
          <t>WS #</t>
        </is>
      </c>
      <c r="D2" s="1" t="n">
        <v>72823</v>
      </c>
      <c r="E2" s="4" t="inlineStr">
        <is>
          <t>SHIP DATE</t>
        </is>
      </c>
      <c r="F2" s="15" t="n"/>
      <c r="G2" s="15" t="n"/>
      <c r="H2" s="5" t="n"/>
      <c r="I2" s="6" t="n"/>
      <c r="J2" s="20" t="inlineStr">
        <is>
          <t>Color 1</t>
        </is>
      </c>
      <c r="K2" s="21" t="n"/>
      <c r="M2" s="7" t="n"/>
    </row>
    <row r="3" ht="16" customFormat="1" customHeight="1" s="1" thickBot="1">
      <c r="A3" s="8" t="inlineStr">
        <is>
          <t>SR #</t>
        </is>
      </c>
      <c r="B3" s="8" t="inlineStr">
        <is>
          <t>TEAM #</t>
        </is>
      </c>
      <c r="C3" s="8" t="inlineStr">
        <is>
          <t>EMB</t>
        </is>
      </c>
      <c r="D3" s="8" t="inlineStr">
        <is>
          <t>MAIN BODY</t>
        </is>
      </c>
      <c r="E3" s="8" t="inlineStr">
        <is>
          <t>APPLIQUE</t>
        </is>
      </c>
      <c r="F3" s="8" t="inlineStr">
        <is>
          <t>BACK EMBROIDERY</t>
        </is>
      </c>
      <c r="G3" s="8" t="inlineStr">
        <is>
          <t>FRONT  EMB</t>
        </is>
      </c>
      <c r="H3" s="9" t="n"/>
      <c r="I3" s="10" t="inlineStr">
        <is>
          <t>QUANTITY</t>
        </is>
      </c>
      <c r="J3" s="10" t="inlineStr">
        <is>
          <t>FLEECE</t>
        </is>
      </c>
      <c r="K3" s="10" t="inlineStr">
        <is>
          <t>2 X 1 RIB</t>
        </is>
      </c>
      <c r="L3" s="10" t="inlineStr">
        <is>
          <t>TO &amp; DATE</t>
        </is>
      </c>
      <c r="M3" s="10" t="inlineStr">
        <is>
          <t>RETURN DATE</t>
        </is>
      </c>
      <c r="O3" s="7" t="n">
        <v>46316</v>
      </c>
    </row>
    <row r="4" ht="58" customFormat="1" customHeight="1" s="1" thickBot="1">
      <c r="A4" s="11" t="n">
        <v>1</v>
      </c>
      <c r="B4" s="8" t="n"/>
      <c r="C4" s="12" t="inlineStr">
        <is>
          <t>CAL</t>
        </is>
      </c>
      <c r="D4" s="12" t="inlineStr">
        <is>
          <t>IVR-NAVY</t>
        </is>
      </c>
      <c r="E4" s="12" t="inlineStr">
        <is>
          <t>NAVY</t>
        </is>
      </c>
      <c r="F4" s="12" t="n"/>
      <c r="G4" s="12" t="n"/>
      <c r="H4" s="13" t="n">
        <v>60</v>
      </c>
      <c r="I4" s="14">
        <f>H4+10</f>
        <v/>
      </c>
      <c r="J4" s="14">
        <f>I4*0.933</f>
        <v/>
      </c>
      <c r="K4" s="14">
        <f>I4*0.13</f>
        <v/>
      </c>
      <c r="L4" s="14" t="n"/>
      <c r="M4" s="14" t="n"/>
    </row>
    <row r="5" ht="40" customFormat="1" customHeight="1" s="1" thickBot="1">
      <c r="A5" s="11">
        <f>A4+1</f>
        <v/>
      </c>
      <c r="B5" s="8" t="n"/>
      <c r="C5" s="12" t="inlineStr">
        <is>
          <t>DUK</t>
        </is>
      </c>
      <c r="D5" s="12" t="inlineStr">
        <is>
          <t>IVR-</t>
        </is>
      </c>
      <c r="E5" s="12" t="n"/>
      <c r="F5" s="12" t="n"/>
      <c r="G5" s="12" t="n"/>
      <c r="H5" s="13" t="n">
        <v>59</v>
      </c>
      <c r="I5" s="14">
        <f>H5+10</f>
        <v/>
      </c>
      <c r="J5" s="14">
        <f>I5*0.933</f>
        <v/>
      </c>
      <c r="K5" s="14">
        <f>I5*0.13</f>
        <v/>
      </c>
      <c r="L5" s="14" t="n"/>
      <c r="M5" s="14" t="n"/>
    </row>
    <row r="6" ht="40" customFormat="1" customHeight="1" s="1" thickBot="1">
      <c r="A6" s="11">
        <f>A5+1</f>
        <v/>
      </c>
      <c r="B6" s="8" t="n"/>
      <c r="C6" s="12" t="inlineStr">
        <is>
          <t>HOU</t>
        </is>
      </c>
      <c r="D6" s="12" t="inlineStr">
        <is>
          <t>IVR-</t>
        </is>
      </c>
      <c r="E6" s="12" t="n"/>
      <c r="F6" s="12" t="n"/>
      <c r="G6" s="12" t="n"/>
      <c r="H6" s="13" t="n">
        <v>48</v>
      </c>
      <c r="I6" s="14">
        <f>H6+10</f>
        <v/>
      </c>
      <c r="J6" s="14">
        <f>I6*0.933</f>
        <v/>
      </c>
      <c r="K6" s="14">
        <f>I6*0.13</f>
        <v/>
      </c>
      <c r="L6" s="14" t="n"/>
      <c r="M6" s="14" t="n"/>
    </row>
    <row r="7" ht="40" customFormat="1" customHeight="1" s="1" thickBot="1">
      <c r="A7" s="11">
        <f>A6+1</f>
        <v/>
      </c>
      <c r="B7" s="8" t="n"/>
      <c r="C7" s="12" t="inlineStr">
        <is>
          <t>ILL</t>
        </is>
      </c>
      <c r="D7" s="12" t="inlineStr">
        <is>
          <t>IVR-</t>
        </is>
      </c>
      <c r="E7" s="12" t="n"/>
      <c r="F7" s="12" t="n"/>
      <c r="G7" s="12" t="n"/>
      <c r="H7" s="13" t="n">
        <v>95</v>
      </c>
      <c r="I7" s="14">
        <f>H7+10</f>
        <v/>
      </c>
      <c r="J7" s="14">
        <f>I7*0.933</f>
        <v/>
      </c>
      <c r="K7" s="14">
        <f>I7*0.13</f>
        <v/>
      </c>
      <c r="L7" s="14" t="n"/>
      <c r="M7" s="14" t="n"/>
    </row>
    <row r="8" ht="40" customFormat="1" customHeight="1" s="1" thickBot="1">
      <c r="A8" s="11">
        <f>A7+1</f>
        <v/>
      </c>
      <c r="B8" s="8" t="n"/>
      <c r="C8" s="12" t="inlineStr">
        <is>
          <t>ISU</t>
        </is>
      </c>
      <c r="D8" s="12" t="inlineStr">
        <is>
          <t>IVR-</t>
        </is>
      </c>
      <c r="E8" s="12" t="n"/>
      <c r="F8" s="12" t="n"/>
      <c r="G8" s="12" t="n"/>
      <c r="H8" s="13" t="n">
        <v>48</v>
      </c>
      <c r="I8" s="14">
        <f>H8+10</f>
        <v/>
      </c>
      <c r="J8" s="14">
        <f>I8*0.933</f>
        <v/>
      </c>
      <c r="K8" s="14">
        <f>I8*0.13</f>
        <v/>
      </c>
      <c r="L8" s="14" t="n"/>
      <c r="M8" s="14" t="n"/>
    </row>
    <row r="9" ht="40" customFormat="1" customHeight="1" s="1" thickBot="1">
      <c r="A9" s="11">
        <f>A8+1</f>
        <v/>
      </c>
      <c r="B9" s="8" t="n"/>
      <c r="C9" s="12" t="inlineStr">
        <is>
          <t>IWA</t>
        </is>
      </c>
      <c r="D9" s="12" t="inlineStr">
        <is>
          <t>IVR-</t>
        </is>
      </c>
      <c r="E9" s="12" t="n"/>
      <c r="F9" s="12" t="n"/>
      <c r="G9" s="12" t="n"/>
      <c r="H9" s="13" t="n">
        <v>96</v>
      </c>
      <c r="I9" s="14">
        <f>H9+10</f>
        <v/>
      </c>
      <c r="J9" s="14">
        <f>I9*0.933</f>
        <v/>
      </c>
      <c r="K9" s="14">
        <f>I9*0.13</f>
        <v/>
      </c>
      <c r="L9" s="14" t="n"/>
      <c r="M9" s="14" t="n"/>
    </row>
    <row r="10" ht="40" customFormat="1" customHeight="1" s="1" thickBot="1">
      <c r="A10" s="11">
        <f>A9+1</f>
        <v/>
      </c>
      <c r="B10" s="8" t="n"/>
      <c r="C10" s="12" t="inlineStr">
        <is>
          <t>NAV</t>
        </is>
      </c>
      <c r="D10" s="12" t="inlineStr">
        <is>
          <t>IVR-</t>
        </is>
      </c>
      <c r="E10" s="12" t="n"/>
      <c r="F10" s="12" t="n"/>
      <c r="G10" s="12" t="n"/>
      <c r="H10" s="13" t="n">
        <v>48</v>
      </c>
      <c r="I10" s="14">
        <f>H10+10</f>
        <v/>
      </c>
      <c r="J10" s="14">
        <f>I10*0.933</f>
        <v/>
      </c>
      <c r="K10" s="14">
        <f>I10*0.13</f>
        <v/>
      </c>
      <c r="L10" s="14" t="n"/>
      <c r="M10" s="14" t="n"/>
    </row>
    <row r="11" ht="40" customFormat="1" customHeight="1" s="1" thickBot="1">
      <c r="A11" s="11">
        <f>A10+1</f>
        <v/>
      </c>
      <c r="B11" s="8" t="n"/>
      <c r="C11" s="12" t="inlineStr">
        <is>
          <t>NTD</t>
        </is>
      </c>
      <c r="D11" s="12" t="inlineStr">
        <is>
          <t>IVR-</t>
        </is>
      </c>
      <c r="E11" s="12" t="n"/>
      <c r="F11" s="12" t="n"/>
      <c r="G11" s="12" t="n"/>
      <c r="H11" s="13" t="n">
        <v>180</v>
      </c>
      <c r="I11" s="14">
        <f>H11+10</f>
        <v/>
      </c>
      <c r="J11" s="14">
        <f>I11*0.933</f>
        <v/>
      </c>
      <c r="K11" s="14">
        <f>I11*0.13</f>
        <v/>
      </c>
      <c r="L11" s="14" t="n"/>
      <c r="M11" s="14" t="n"/>
    </row>
    <row r="12" ht="40" customFormat="1" customHeight="1" s="1" thickBot="1">
      <c r="A12" s="11">
        <f>A11+1</f>
        <v/>
      </c>
      <c r="B12" s="8" t="n"/>
      <c r="C12" s="12" t="inlineStr">
        <is>
          <t>SYR</t>
        </is>
      </c>
      <c r="D12" s="12" t="inlineStr">
        <is>
          <t>IVR-</t>
        </is>
      </c>
      <c r="E12" s="12" t="n"/>
      <c r="F12" s="12" t="n"/>
      <c r="G12" s="12" t="n"/>
      <c r="H12" s="13" t="n">
        <v>60</v>
      </c>
      <c r="I12" s="14">
        <f>H12+10</f>
        <v/>
      </c>
      <c r="J12" s="14">
        <f>I12*0.933</f>
        <v/>
      </c>
      <c r="K12" s="14">
        <f>I12*0.13</f>
        <v/>
      </c>
      <c r="L12" s="14" t="n"/>
      <c r="M12" s="14" t="n"/>
    </row>
    <row r="13" ht="40" customFormat="1" customHeight="1" s="1" thickBot="1">
      <c r="A13" s="11">
        <f>A12+1</f>
        <v/>
      </c>
      <c r="B13" s="8" t="n"/>
      <c r="C13" s="12" t="inlineStr">
        <is>
          <t>TEX</t>
        </is>
      </c>
      <c r="D13" s="12" t="inlineStr">
        <is>
          <t>IVR-</t>
        </is>
      </c>
      <c r="E13" s="12" t="n"/>
      <c r="F13" s="12" t="n"/>
      <c r="G13" s="12" t="n"/>
      <c r="H13" s="13" t="n">
        <v>120</v>
      </c>
      <c r="I13" s="14">
        <f>H13+10</f>
        <v/>
      </c>
      <c r="J13" s="14">
        <f>I13*0.933</f>
        <v/>
      </c>
      <c r="K13" s="14">
        <f>I13*0.13</f>
        <v/>
      </c>
      <c r="L13" s="14" t="n"/>
      <c r="M13" s="14" t="n"/>
    </row>
    <row r="14" ht="40" customFormat="1" customHeight="1" s="1" thickBot="1">
      <c r="A14" s="11">
        <f>A13+1</f>
        <v/>
      </c>
      <c r="B14" s="8" t="n"/>
      <c r="C14" s="12" t="inlineStr">
        <is>
          <t>UCF</t>
        </is>
      </c>
      <c r="D14" s="12" t="inlineStr">
        <is>
          <t>IVR-</t>
        </is>
      </c>
      <c r="E14" s="12" t="n"/>
      <c r="F14" s="12" t="n"/>
      <c r="G14" s="12" t="n"/>
      <c r="H14" s="13" t="n">
        <v>49</v>
      </c>
      <c r="I14" s="14">
        <f>H14+10</f>
        <v/>
      </c>
      <c r="J14" s="14">
        <f>I14*0.933</f>
        <v/>
      </c>
      <c r="K14" s="14">
        <f>I14*0.13</f>
        <v/>
      </c>
      <c r="L14" s="14" t="n"/>
      <c r="M14" s="14" t="n"/>
    </row>
    <row r="15" ht="40" customFormat="1" customHeight="1" s="1" thickBot="1">
      <c r="A15" s="11">
        <f>A14+1</f>
        <v/>
      </c>
      <c r="B15" s="8" t="n"/>
      <c r="C15" s="12" t="inlineStr">
        <is>
          <t>UFL</t>
        </is>
      </c>
      <c r="D15" s="12" t="inlineStr">
        <is>
          <t>IVR-</t>
        </is>
      </c>
      <c r="E15" s="12" t="n"/>
      <c r="F15" s="12" t="n"/>
      <c r="G15" s="12" t="n"/>
      <c r="H15" s="13" t="n">
        <v>145</v>
      </c>
      <c r="I15" s="14">
        <f>H15+10</f>
        <v/>
      </c>
      <c r="J15" s="14">
        <f>I15*0.933</f>
        <v/>
      </c>
      <c r="K15" s="14">
        <f>I15*0.13</f>
        <v/>
      </c>
      <c r="L15" s="14" t="n"/>
      <c r="M15" s="14" t="n"/>
    </row>
    <row r="16" ht="40" customFormat="1" customHeight="1" s="1" thickBot="1">
      <c r="A16" s="11">
        <f>A15+1</f>
        <v/>
      </c>
      <c r="B16" s="8" t="n"/>
      <c r="C16" s="12" t="inlineStr">
        <is>
          <t>UGA</t>
        </is>
      </c>
      <c r="D16" s="12" t="inlineStr">
        <is>
          <t>IVR-</t>
        </is>
      </c>
      <c r="E16" s="12" t="n"/>
      <c r="F16" s="12" t="n"/>
      <c r="G16" s="12" t="n"/>
      <c r="H16" s="13" t="n">
        <v>144</v>
      </c>
      <c r="I16" s="14">
        <f>H16+10</f>
        <v/>
      </c>
      <c r="J16" s="14">
        <f>I16*0.933</f>
        <v/>
      </c>
      <c r="K16" s="14">
        <f>I16*0.13</f>
        <v/>
      </c>
      <c r="L16" s="14" t="n"/>
      <c r="M16" s="14" t="n"/>
    </row>
    <row r="17" ht="40" customFormat="1" customHeight="1" s="1" thickBot="1">
      <c r="A17" s="11">
        <f>A16+1</f>
        <v/>
      </c>
      <c r="B17" s="8" t="n"/>
      <c r="C17" s="12" t="inlineStr">
        <is>
          <t>UKY</t>
        </is>
      </c>
      <c r="D17" s="12" t="inlineStr">
        <is>
          <t>IVR-</t>
        </is>
      </c>
      <c r="E17" s="12" t="n"/>
      <c r="F17" s="12" t="n"/>
      <c r="G17" s="12" t="n"/>
      <c r="H17" s="13" t="n">
        <v>181</v>
      </c>
      <c r="I17" s="14">
        <f>H17+10</f>
        <v/>
      </c>
      <c r="J17" s="14">
        <f>I17*0.933</f>
        <v/>
      </c>
      <c r="K17" s="14">
        <f>I17*0.13</f>
        <v/>
      </c>
      <c r="L17" s="14" t="n"/>
      <c r="M17" s="14" t="n"/>
    </row>
    <row r="18" ht="40" customFormat="1" customHeight="1" s="1" thickBot="1">
      <c r="A18" s="11">
        <f>A17+1</f>
        <v/>
      </c>
      <c r="B18" s="8" t="n"/>
      <c r="C18" s="12" t="inlineStr">
        <is>
          <t>ULV</t>
        </is>
      </c>
      <c r="D18" s="12" t="inlineStr">
        <is>
          <t>IVR-</t>
        </is>
      </c>
      <c r="E18" s="12" t="n"/>
      <c r="F18" s="12" t="n"/>
      <c r="G18" s="12" t="n"/>
      <c r="H18" s="13" t="n">
        <v>48</v>
      </c>
      <c r="I18" s="14">
        <f>H18+10</f>
        <v/>
      </c>
      <c r="J18" s="14">
        <f>I18*0.933</f>
        <v/>
      </c>
      <c r="K18" s="14">
        <f>I18*0.13</f>
        <v/>
      </c>
      <c r="L18" s="14" t="n"/>
      <c r="M18" s="14" t="n"/>
    </row>
    <row r="19" ht="40" customFormat="1" customHeight="1" s="1" thickBot="1">
      <c r="A19" s="11">
        <f>A18+1</f>
        <v/>
      </c>
      <c r="B19" s="8" t="n"/>
      <c r="C19" s="12" t="inlineStr">
        <is>
          <t>UMI</t>
        </is>
      </c>
      <c r="D19" s="12" t="inlineStr">
        <is>
          <t>IVR-</t>
        </is>
      </c>
      <c r="E19" s="12" t="n"/>
      <c r="F19" s="12" t="n"/>
      <c r="G19" s="12" t="n"/>
      <c r="H19" s="13" t="n">
        <v>180</v>
      </c>
      <c r="I19" s="14">
        <f>H19+10</f>
        <v/>
      </c>
      <c r="J19" s="14">
        <f>I19*0.933</f>
        <v/>
      </c>
      <c r="K19" s="14">
        <f>I19*0.13</f>
        <v/>
      </c>
      <c r="L19" s="14" t="n"/>
      <c r="M19" s="14" t="n"/>
    </row>
    <row r="20" ht="40" customFormat="1" customHeight="1" s="1" thickBot="1">
      <c r="A20" s="11">
        <f>A19+1</f>
        <v/>
      </c>
      <c r="B20" s="8" t="n"/>
      <c r="C20" s="12" t="inlineStr">
        <is>
          <t>UMO</t>
        </is>
      </c>
      <c r="D20" s="12" t="inlineStr">
        <is>
          <t>IVR-</t>
        </is>
      </c>
      <c r="E20" s="12" t="n"/>
      <c r="F20" s="12" t="n"/>
      <c r="G20" s="12" t="n"/>
      <c r="H20" s="13" t="n">
        <v>48</v>
      </c>
      <c r="I20" s="14">
        <f>H20+10</f>
        <v/>
      </c>
      <c r="J20" s="14">
        <f>I20*0.933</f>
        <v/>
      </c>
      <c r="K20" s="14">
        <f>I20*0.13</f>
        <v/>
      </c>
      <c r="L20" s="14" t="n"/>
      <c r="M20" s="14" t="n"/>
    </row>
    <row r="21" ht="40" customFormat="1" customHeight="1" s="1" thickBot="1">
      <c r="A21" s="11">
        <f>A20+1</f>
        <v/>
      </c>
      <c r="B21" s="8" t="n"/>
      <c r="C21" s="12" t="inlineStr">
        <is>
          <t>USC</t>
        </is>
      </c>
      <c r="D21" s="12" t="inlineStr">
        <is>
          <t>IVR-</t>
        </is>
      </c>
      <c r="E21" s="12" t="n"/>
      <c r="F21" s="12" t="n"/>
      <c r="G21" s="12" t="n"/>
      <c r="H21" s="13" t="n">
        <v>108</v>
      </c>
      <c r="I21" s="14">
        <f>H21+10</f>
        <v/>
      </c>
      <c r="J21" s="14">
        <f>I21*0.933</f>
        <v/>
      </c>
      <c r="K21" s="14">
        <f>I21*0.13</f>
        <v/>
      </c>
      <c r="L21" s="14" t="n"/>
      <c r="M21" s="14" t="n"/>
    </row>
    <row r="22" ht="40" customFormat="1" customHeight="1" s="1" thickBot="1">
      <c r="A22" s="11">
        <f>A21+1</f>
        <v/>
      </c>
      <c r="B22" s="8" t="n"/>
      <c r="C22" s="12" t="inlineStr">
        <is>
          <t>UTN</t>
        </is>
      </c>
      <c r="D22" s="12" t="inlineStr">
        <is>
          <t>IVR-</t>
        </is>
      </c>
      <c r="E22" s="12" t="n"/>
      <c r="F22" s="12" t="n"/>
      <c r="G22" s="12" t="n"/>
      <c r="H22" s="13" t="n">
        <v>180</v>
      </c>
      <c r="I22" s="14">
        <f>H22+10</f>
        <v/>
      </c>
      <c r="J22" s="14">
        <f>I22*0.933</f>
        <v/>
      </c>
      <c r="K22" s="14">
        <f>I22*0.13</f>
        <v/>
      </c>
      <c r="L22" s="14" t="n"/>
      <c r="M22" s="14" t="n"/>
    </row>
    <row r="23" ht="40" customFormat="1" customHeight="1" s="1" thickBot="1">
      <c r="A23" s="11">
        <f>A22+1</f>
        <v/>
      </c>
      <c r="B23" s="8" t="n"/>
      <c r="C23" s="12" t="inlineStr">
        <is>
          <t>VTU</t>
        </is>
      </c>
      <c r="D23" s="12" t="inlineStr">
        <is>
          <t>IVR-</t>
        </is>
      </c>
      <c r="E23" s="12" t="n"/>
      <c r="F23" s="12" t="n"/>
      <c r="G23" s="12" t="n"/>
      <c r="H23" s="13" t="n">
        <v>61</v>
      </c>
      <c r="I23" s="14">
        <f>H23+10</f>
        <v/>
      </c>
      <c r="J23" s="14">
        <f>I23*0.933</f>
        <v/>
      </c>
      <c r="K23" s="14">
        <f>I23*0.13</f>
        <v/>
      </c>
      <c r="L23" s="14" t="n"/>
      <c r="M23" s="14" t="n"/>
    </row>
    <row r="24" ht="40" customFormat="1" customHeight="1" s="1" thickBot="1">
      <c r="A24" s="11">
        <f>A23+1</f>
        <v/>
      </c>
      <c r="B24" s="8" t="n"/>
      <c r="C24" s="12" t="inlineStr">
        <is>
          <t>WIS</t>
        </is>
      </c>
      <c r="D24" s="12" t="inlineStr">
        <is>
          <t>IVR-</t>
        </is>
      </c>
      <c r="E24" s="12" t="n"/>
      <c r="F24" s="12" t="n"/>
      <c r="G24" s="12" t="n"/>
      <c r="H24" s="13" t="n">
        <v>96</v>
      </c>
      <c r="I24" s="14">
        <f>H24+10</f>
        <v/>
      </c>
      <c r="J24" s="14">
        <f>I24*0.933</f>
        <v/>
      </c>
      <c r="K24" s="14">
        <f>I24*0.13</f>
        <v/>
      </c>
      <c r="L24" s="14" t="n"/>
      <c r="M24" s="14" t="n"/>
    </row>
    <row r="25">
      <c r="H25">
        <f>SUM(H4:H24)</f>
        <v/>
      </c>
      <c r="I25">
        <f>SUM(I4:I24)</f>
        <v/>
      </c>
      <c r="J25">
        <f>SUM(J4:J24)</f>
        <v/>
      </c>
      <c r="K25">
        <f>SUM(K4:K24)</f>
        <v/>
      </c>
    </row>
  </sheetData>
  <mergeCells count="1">
    <mergeCell ref="J2:K2"/>
  </mergeCells>
  <pageMargins left="0.45" right="0.2" top="0.75" bottom="0.75" header="0.3" footer="0.3"/>
  <pageSetup orientation="landscape" scale="91"/>
  <colBreaks count="1" manualBreakCount="1">
    <brk id="13" min="0" max="1048575" man="1"/>
  </col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topLeftCell="A18" zoomScaleNormal="100" workbookViewId="0">
      <selection activeCell="J20" sqref="J20:K20"/>
    </sheetView>
  </sheetViews>
  <sheetFormatPr baseColWidth="8" defaultRowHeight="14.5"/>
  <cols>
    <col width="11.36328125" bestFit="1" customWidth="1" min="2" max="2"/>
    <col width="10.7265625" bestFit="1" customWidth="1" min="4" max="4"/>
    <col width="12.90625" bestFit="1" customWidth="1" min="5" max="5"/>
    <col width="19.453125" customWidth="1" min="6" max="6"/>
    <col width="11.1796875" bestFit="1" customWidth="1" min="7" max="7"/>
    <col width="4.81640625" bestFit="1" customWidth="1" min="8" max="8"/>
    <col width="10.08984375" customWidth="1" min="9" max="9"/>
    <col width="7.1796875" bestFit="1" customWidth="1" min="10" max="10"/>
    <col width="8.54296875" bestFit="1" customWidth="1" min="11" max="11"/>
    <col width="25.453125" customWidth="1" min="12" max="12"/>
    <col width="26.08984375" customWidth="1" min="13" max="13"/>
  </cols>
  <sheetData>
    <row r="1" ht="15" customFormat="1" customHeight="1" s="1" thickBot="1">
      <c r="A1" s="1" t="inlineStr">
        <is>
          <t>CONTRACT PK</t>
        </is>
      </c>
      <c r="C1" s="2" t="n"/>
      <c r="E1" s="1" t="inlineStr">
        <is>
          <t>LABEL</t>
        </is>
      </c>
      <c r="F1" s="1" t="inlineStr">
        <is>
          <t>PRESSBOX</t>
        </is>
      </c>
      <c r="H1" s="3" t="n"/>
      <c r="I1" s="2" t="inlineStr">
        <is>
          <t>ROYCE APPAREL</t>
        </is>
      </c>
    </row>
    <row r="2" ht="15" customFormat="1" customHeight="1" s="1" thickBot="1">
      <c r="A2" s="1" t="inlineStr">
        <is>
          <t>MOCKTAIL</t>
        </is>
      </c>
      <c r="C2" s="1" t="inlineStr">
        <is>
          <t>WS #</t>
        </is>
      </c>
      <c r="D2" s="1" t="n">
        <v>72818</v>
      </c>
      <c r="E2" s="4" t="inlineStr">
        <is>
          <t>SHIP DATE</t>
        </is>
      </c>
      <c r="F2" s="15" t="n"/>
      <c r="G2" s="15" t="n"/>
      <c r="H2" s="5" t="n"/>
      <c r="I2" s="6" t="n"/>
      <c r="J2" s="20" t="inlineStr">
        <is>
          <t>Color 1</t>
        </is>
      </c>
      <c r="K2" s="21" t="n"/>
      <c r="M2" s="7" t="n"/>
    </row>
    <row r="3" ht="16" customFormat="1" customHeight="1" s="1" thickBot="1">
      <c r="A3" s="8" t="inlineStr">
        <is>
          <t>SR #</t>
        </is>
      </c>
      <c r="B3" s="8" t="inlineStr">
        <is>
          <t>CONTRACT #</t>
        </is>
      </c>
      <c r="C3" s="8" t="inlineStr">
        <is>
          <t>EMB</t>
        </is>
      </c>
      <c r="D3" s="8" t="inlineStr">
        <is>
          <t>MAIN BODY</t>
        </is>
      </c>
      <c r="E3" s="8" t="inlineStr">
        <is>
          <t>APPLIQUE</t>
        </is>
      </c>
      <c r="F3" s="8" t="inlineStr">
        <is>
          <t>BACK EMBROIDERY</t>
        </is>
      </c>
      <c r="G3" s="8" t="inlineStr">
        <is>
          <t>FRONT  EMB</t>
        </is>
      </c>
      <c r="H3" s="9" t="n"/>
      <c r="I3" s="10" t="inlineStr">
        <is>
          <t>QUANTITY</t>
        </is>
      </c>
      <c r="J3" s="10" t="inlineStr">
        <is>
          <t>FLEECE</t>
        </is>
      </c>
      <c r="K3" s="10" t="inlineStr">
        <is>
          <t>2 X 1 RIB</t>
        </is>
      </c>
      <c r="L3" s="10" t="inlineStr">
        <is>
          <t>TO &amp; DATE</t>
        </is>
      </c>
      <c r="M3" s="10" t="inlineStr">
        <is>
          <t>RETURN DATE</t>
        </is>
      </c>
      <c r="O3" s="7" t="n">
        <v>46372</v>
      </c>
    </row>
    <row r="4" ht="40" customFormat="1" customHeight="1" s="1" thickBot="1">
      <c r="A4" s="11" t="n">
        <v>1</v>
      </c>
      <c r="B4" s="8" t="n"/>
      <c r="C4" s="12" t="inlineStr">
        <is>
          <t>ARK</t>
        </is>
      </c>
      <c r="D4" s="12" t="inlineStr">
        <is>
          <t>IVR-</t>
        </is>
      </c>
      <c r="E4" s="12" t="n"/>
      <c r="F4" s="12" t="n"/>
      <c r="G4" s="12" t="n"/>
      <c r="H4" s="13" t="n">
        <v>18</v>
      </c>
      <c r="I4" s="14">
        <f>H4+10</f>
        <v/>
      </c>
      <c r="J4" s="14">
        <f>I4*0.933</f>
        <v/>
      </c>
      <c r="K4" s="14">
        <f>I4*0.13</f>
        <v/>
      </c>
      <c r="L4" s="14" t="n"/>
      <c r="M4" s="14" t="n"/>
    </row>
    <row r="5" ht="40" customFormat="1" customHeight="1" s="1" thickBot="1">
      <c r="A5" s="11">
        <f>A4+1</f>
        <v/>
      </c>
      <c r="B5" s="8" t="n"/>
      <c r="C5" s="12" t="inlineStr">
        <is>
          <t>ASU</t>
        </is>
      </c>
      <c r="D5" s="12" t="inlineStr">
        <is>
          <t>IVR-</t>
        </is>
      </c>
      <c r="E5" s="12" t="n"/>
      <c r="F5" s="12" t="n"/>
      <c r="G5" s="12" t="n"/>
      <c r="H5" s="13" t="n">
        <v>18</v>
      </c>
      <c r="I5" s="14">
        <f>H5+10</f>
        <v/>
      </c>
      <c r="J5" s="14">
        <f>I5*0.933</f>
        <v/>
      </c>
      <c r="K5" s="14">
        <f>I5*0.13</f>
        <v/>
      </c>
      <c r="L5" s="14" t="n"/>
      <c r="M5" s="14" t="n"/>
    </row>
    <row r="6" ht="40" customFormat="1" customHeight="1" s="1" thickBot="1">
      <c r="A6" s="11">
        <f>A5+1</f>
        <v/>
      </c>
      <c r="B6" s="8" t="n"/>
      <c r="C6" s="12" t="inlineStr">
        <is>
          <t>CLE</t>
        </is>
      </c>
      <c r="D6" s="12" t="inlineStr">
        <is>
          <t>IVR-</t>
        </is>
      </c>
      <c r="E6" s="12" t="n"/>
      <c r="F6" s="12" t="n"/>
      <c r="G6" s="12" t="n"/>
      <c r="H6" s="13" t="n">
        <v>18</v>
      </c>
      <c r="I6" s="14">
        <f>H6+10</f>
        <v/>
      </c>
      <c r="J6" s="14">
        <f>I6*0.933</f>
        <v/>
      </c>
      <c r="K6" s="14">
        <f>I6*0.13</f>
        <v/>
      </c>
      <c r="L6" s="14" t="n"/>
      <c r="M6" s="14" t="n"/>
    </row>
    <row r="7" ht="40" customFormat="1" customHeight="1" s="1" thickBot="1">
      <c r="A7" s="11">
        <f>A6+1</f>
        <v/>
      </c>
      <c r="B7" s="8" t="n"/>
      <c r="C7" s="12" t="inlineStr">
        <is>
          <t>ETS</t>
        </is>
      </c>
      <c r="D7" s="12" t="inlineStr">
        <is>
          <t>IVR-</t>
        </is>
      </c>
      <c r="E7" s="12" t="n"/>
      <c r="F7" s="12" t="n"/>
      <c r="G7" s="12" t="n"/>
      <c r="H7" s="13" t="n">
        <v>18</v>
      </c>
      <c r="I7" s="14">
        <f>H7+10</f>
        <v/>
      </c>
      <c r="J7" s="14">
        <f>I7*0.933</f>
        <v/>
      </c>
      <c r="K7" s="14">
        <f>I7*0.13</f>
        <v/>
      </c>
      <c r="L7" s="14" t="n"/>
      <c r="M7" s="14" t="n"/>
    </row>
    <row r="8" ht="40" customFormat="1" customHeight="1" s="1" thickBot="1">
      <c r="A8" s="11">
        <f>A7+1</f>
        <v/>
      </c>
      <c r="B8" s="8" t="n"/>
      <c r="C8" s="12" t="inlineStr">
        <is>
          <t>IND</t>
        </is>
      </c>
      <c r="D8" s="12" t="inlineStr">
        <is>
          <t>IVR-</t>
        </is>
      </c>
      <c r="E8" s="12" t="n"/>
      <c r="F8" s="12" t="n"/>
      <c r="G8" s="12" t="n"/>
      <c r="H8" s="13" t="n">
        <v>18</v>
      </c>
      <c r="I8" s="14">
        <f>H8+10</f>
        <v/>
      </c>
      <c r="J8" s="14">
        <f>I8*0.933</f>
        <v/>
      </c>
      <c r="K8" s="14">
        <f>I8*0.13</f>
        <v/>
      </c>
      <c r="L8" s="14" t="n"/>
      <c r="M8" s="14" t="n"/>
    </row>
    <row r="9" ht="40" customFormat="1" customHeight="1" s="1" thickBot="1">
      <c r="A9" s="11">
        <f>A8+1</f>
        <v/>
      </c>
      <c r="B9" s="8" t="n"/>
      <c r="C9" s="12" t="inlineStr">
        <is>
          <t>LSU</t>
        </is>
      </c>
      <c r="D9" s="12" t="inlineStr">
        <is>
          <t>IVR-</t>
        </is>
      </c>
      <c r="E9" s="12" t="n"/>
      <c r="F9" s="12" t="n"/>
      <c r="G9" s="12" t="n"/>
      <c r="H9" s="13" t="n">
        <v>18</v>
      </c>
      <c r="I9" s="14">
        <f>H9+10</f>
        <v/>
      </c>
      <c r="J9" s="14">
        <f>I9*0.933</f>
        <v/>
      </c>
      <c r="K9" s="14">
        <f>I9*0.13</f>
        <v/>
      </c>
      <c r="L9" s="14" t="n"/>
      <c r="M9" s="14" t="n"/>
    </row>
    <row r="10" ht="40" customFormat="1" customHeight="1" s="1" thickBot="1">
      <c r="A10" s="11">
        <f>A9+1</f>
        <v/>
      </c>
      <c r="B10" s="8" t="n"/>
      <c r="C10" s="12" t="inlineStr">
        <is>
          <t>MSS</t>
        </is>
      </c>
      <c r="D10" s="12" t="inlineStr">
        <is>
          <t>IVR-</t>
        </is>
      </c>
      <c r="E10" s="12" t="n"/>
      <c r="F10" s="12" t="n"/>
      <c r="G10" s="12" t="n"/>
      <c r="H10" s="13" t="n">
        <v>18</v>
      </c>
      <c r="I10" s="14">
        <f>H10+10</f>
        <v/>
      </c>
      <c r="J10" s="14">
        <f>I10*0.933</f>
        <v/>
      </c>
      <c r="K10" s="14">
        <f>I10*0.13</f>
        <v/>
      </c>
      <c r="L10" s="14" t="n"/>
      <c r="M10" s="14" t="n"/>
    </row>
    <row r="11" ht="40" customFormat="1" customHeight="1" s="1" thickBot="1">
      <c r="A11" s="11">
        <f>A10+1</f>
        <v/>
      </c>
      <c r="B11" s="8" t="n"/>
      <c r="C11" s="12" t="inlineStr">
        <is>
          <t>NCS</t>
        </is>
      </c>
      <c r="D11" s="12" t="inlineStr">
        <is>
          <t>IVR-</t>
        </is>
      </c>
      <c r="E11" s="12" t="n"/>
      <c r="F11" s="12" t="n"/>
      <c r="G11" s="12" t="n"/>
      <c r="H11" s="13" t="n">
        <v>18</v>
      </c>
      <c r="I11" s="14">
        <f>H11+10</f>
        <v/>
      </c>
      <c r="J11" s="14">
        <f>I11*0.933</f>
        <v/>
      </c>
      <c r="K11" s="14">
        <f>I11*0.13</f>
        <v/>
      </c>
      <c r="L11" s="14" t="n"/>
      <c r="M11" s="14" t="n"/>
    </row>
    <row r="12" ht="40" customFormat="1" customHeight="1" s="1" thickBot="1">
      <c r="A12" s="11">
        <f>A11+1</f>
        <v/>
      </c>
      <c r="B12" s="8" t="n"/>
      <c r="C12" s="12" t="inlineStr">
        <is>
          <t>NEB</t>
        </is>
      </c>
      <c r="D12" s="12" t="inlineStr">
        <is>
          <t>IVR-</t>
        </is>
      </c>
      <c r="E12" s="12" t="n"/>
      <c r="F12" s="12" t="n"/>
      <c r="G12" s="12" t="n"/>
      <c r="H12" s="13" t="n">
        <v>18</v>
      </c>
      <c r="I12" s="14">
        <f>H12+10</f>
        <v/>
      </c>
      <c r="J12" s="14">
        <f>I12*0.933</f>
        <v/>
      </c>
      <c r="K12" s="14">
        <f>I12*0.13</f>
        <v/>
      </c>
      <c r="L12" s="14" t="n"/>
      <c r="M12" s="14" t="n"/>
    </row>
    <row r="13" ht="40" customFormat="1" customHeight="1" s="1" thickBot="1">
      <c r="A13" s="11">
        <f>A12+1</f>
        <v/>
      </c>
      <c r="B13" s="8" t="n"/>
      <c r="C13" s="12" t="inlineStr">
        <is>
          <t>UAL</t>
        </is>
      </c>
      <c r="D13" s="12" t="inlineStr">
        <is>
          <t>IVR-</t>
        </is>
      </c>
      <c r="E13" s="12" t="n"/>
      <c r="F13" s="12" t="n"/>
      <c r="G13" s="12" t="n"/>
      <c r="H13" s="13" t="n">
        <v>18</v>
      </c>
      <c r="I13" s="14">
        <f>H13+10</f>
        <v/>
      </c>
      <c r="J13" s="14">
        <f>I13*0.933</f>
        <v/>
      </c>
      <c r="K13" s="14">
        <f>I13*0.13</f>
        <v/>
      </c>
      <c r="L13" s="14" t="n"/>
      <c r="M13" s="14" t="n"/>
    </row>
    <row r="14" ht="40" customFormat="1" customHeight="1" s="1" thickBot="1">
      <c r="A14" s="11">
        <f>A13+1</f>
        <v/>
      </c>
      <c r="B14" s="8" t="n"/>
      <c r="C14" s="12" t="inlineStr">
        <is>
          <t>UGA</t>
        </is>
      </c>
      <c r="D14" s="12" t="inlineStr">
        <is>
          <t>IVR-</t>
        </is>
      </c>
      <c r="E14" s="12" t="n"/>
      <c r="F14" s="12" t="n"/>
      <c r="G14" s="12" t="n"/>
      <c r="H14" s="13" t="n">
        <v>18</v>
      </c>
      <c r="I14" s="14">
        <f>H14+10</f>
        <v/>
      </c>
      <c r="J14" s="14">
        <f>I14*0.933</f>
        <v/>
      </c>
      <c r="K14" s="14">
        <f>I14*0.13</f>
        <v/>
      </c>
      <c r="L14" s="14" t="n"/>
      <c r="M14" s="14" t="n"/>
    </row>
    <row r="15" ht="40" customFormat="1" customHeight="1" s="1" thickBot="1">
      <c r="A15" s="11">
        <f>A14+1</f>
        <v/>
      </c>
      <c r="B15" s="8" t="n"/>
      <c r="C15" s="12" t="inlineStr">
        <is>
          <t>UMI</t>
        </is>
      </c>
      <c r="D15" s="12" t="inlineStr">
        <is>
          <t>IVR-</t>
        </is>
      </c>
      <c r="E15" s="12" t="n"/>
      <c r="F15" s="12" t="n"/>
      <c r="G15" s="12" t="n"/>
      <c r="H15" s="13" t="n">
        <v>18</v>
      </c>
      <c r="I15" s="14">
        <f>H15+10</f>
        <v/>
      </c>
      <c r="J15" s="14">
        <f>I15*0.933</f>
        <v/>
      </c>
      <c r="K15" s="14">
        <f>I15*0.13</f>
        <v/>
      </c>
      <c r="L15" s="14" t="n"/>
      <c r="M15" s="14" t="n"/>
    </row>
    <row r="16" ht="40" customFormat="1" customHeight="1" s="1" thickBot="1">
      <c r="A16" s="11">
        <f>A15+1</f>
        <v/>
      </c>
      <c r="B16" s="8" t="n"/>
      <c r="C16" s="12" t="inlineStr">
        <is>
          <t>UNC</t>
        </is>
      </c>
      <c r="D16" s="12" t="inlineStr">
        <is>
          <t>IVR-</t>
        </is>
      </c>
      <c r="E16" s="12" t="n"/>
      <c r="F16" s="12" t="n"/>
      <c r="G16" s="12" t="n"/>
      <c r="H16" s="13" t="n">
        <v>18</v>
      </c>
      <c r="I16" s="14">
        <f>H16+10</f>
        <v/>
      </c>
      <c r="J16" s="14">
        <f>I16*0.933</f>
        <v/>
      </c>
      <c r="K16" s="14">
        <f>I16*0.13</f>
        <v/>
      </c>
      <c r="L16" s="14" t="n"/>
      <c r="M16" s="14" t="n"/>
    </row>
    <row r="17" ht="40" customFormat="1" customHeight="1" s="1" thickBot="1">
      <c r="A17" s="11">
        <f>A16+1</f>
        <v/>
      </c>
      <c r="B17" s="8" t="n"/>
      <c r="C17" s="12" t="inlineStr">
        <is>
          <t>UTN</t>
        </is>
      </c>
      <c r="D17" s="12" t="inlineStr">
        <is>
          <t>IVR-</t>
        </is>
      </c>
      <c r="E17" s="12" t="n"/>
      <c r="F17" s="12" t="n"/>
      <c r="G17" s="12" t="n"/>
      <c r="H17" s="13" t="n">
        <v>42</v>
      </c>
      <c r="I17" s="14">
        <f>H17+10</f>
        <v/>
      </c>
      <c r="J17" s="14">
        <f>I17*0.933</f>
        <v/>
      </c>
      <c r="K17" s="14">
        <f>I17*0.13</f>
        <v/>
      </c>
      <c r="L17" s="14" t="n"/>
      <c r="M17" s="14" t="n"/>
    </row>
    <row r="18" ht="40" customFormat="1" customHeight="1" s="1" thickBot="1">
      <c r="A18" s="11">
        <f>A17+1</f>
        <v/>
      </c>
      <c r="B18" s="8" t="n"/>
      <c r="C18" s="12" t="inlineStr">
        <is>
          <t>VTU</t>
        </is>
      </c>
      <c r="D18" s="12" t="inlineStr">
        <is>
          <t>IVR-</t>
        </is>
      </c>
      <c r="E18" s="12" t="n"/>
      <c r="F18" s="12" t="n"/>
      <c r="G18" s="12" t="n"/>
      <c r="H18" s="13" t="n">
        <v>18</v>
      </c>
      <c r="I18" s="14">
        <f>H18+10</f>
        <v/>
      </c>
      <c r="J18" s="14">
        <f>I18*0.933</f>
        <v/>
      </c>
      <c r="K18" s="14">
        <f>I18*0.13</f>
        <v/>
      </c>
      <c r="L18" s="14" t="n"/>
      <c r="M18" s="14" t="n"/>
    </row>
    <row r="19" ht="40" customFormat="1" customHeight="1" s="1" thickBot="1">
      <c r="A19" s="11">
        <f>A18+1</f>
        <v/>
      </c>
      <c r="B19" s="8" t="n"/>
      <c r="C19" s="12" t="inlineStr">
        <is>
          <t>WKU</t>
        </is>
      </c>
      <c r="D19" s="12" t="inlineStr">
        <is>
          <t>IVR-</t>
        </is>
      </c>
      <c r="E19" s="12" t="n"/>
      <c r="F19" s="12" t="n"/>
      <c r="G19" s="12" t="n"/>
      <c r="H19" s="13" t="n">
        <v>18</v>
      </c>
      <c r="I19" s="14">
        <f>H19+10</f>
        <v/>
      </c>
      <c r="J19" s="14">
        <f>I19*0.933</f>
        <v/>
      </c>
      <c r="K19" s="14">
        <f>I19*0.13</f>
        <v/>
      </c>
      <c r="L19" s="14" t="n"/>
      <c r="M19" s="14" t="n"/>
    </row>
    <row r="20">
      <c r="H20">
        <f>SUM(H4:H19)</f>
        <v/>
      </c>
      <c r="I20">
        <f>SUM(I4:I19)</f>
        <v/>
      </c>
      <c r="J20">
        <f>SUM(J4:J19)</f>
        <v/>
      </c>
      <c r="K20">
        <f>SUM(K4:K19)</f>
        <v/>
      </c>
    </row>
  </sheetData>
  <mergeCells count="1">
    <mergeCell ref="J2:K2"/>
  </mergeCells>
  <pageMargins left="0.45" right="0.2" top="0.75" bottom="0.75" header="0.3" footer="0.3"/>
  <pageSetup orientation="landscape" scale="91"/>
  <colBreaks count="1" manualBreakCount="1">
    <brk id="13" min="0" max="1048575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Normal="100" workbookViewId="0">
      <selection activeCell="H10" sqref="H10"/>
    </sheetView>
  </sheetViews>
  <sheetFormatPr baseColWidth="8" defaultRowHeight="14.5"/>
  <cols>
    <col width="11.36328125" bestFit="1" customWidth="1" min="2" max="2"/>
    <col width="10.7265625" bestFit="1" customWidth="1" min="4" max="4"/>
    <col width="12.90625" bestFit="1" customWidth="1" min="5" max="5"/>
    <col width="19.453125" customWidth="1" min="6" max="6"/>
    <col width="11.1796875" bestFit="1" customWidth="1" min="7" max="7"/>
    <col width="4.81640625" bestFit="1" customWidth="1" min="8" max="8"/>
    <col width="9.90625" customWidth="1" min="9" max="9"/>
    <col width="7.1796875" bestFit="1" customWidth="1" min="10" max="10"/>
    <col width="8.54296875" bestFit="1" customWidth="1" min="11" max="11"/>
    <col width="25.453125" customWidth="1" min="12" max="12"/>
    <col width="26.08984375" customWidth="1" min="13" max="13"/>
  </cols>
  <sheetData>
    <row r="1" ht="15" customFormat="1" customHeight="1" s="1" thickBot="1">
      <c r="A1" s="1" t="inlineStr">
        <is>
          <t>CONTRACT PK</t>
        </is>
      </c>
      <c r="C1" s="2" t="n"/>
      <c r="E1" s="1" t="inlineStr">
        <is>
          <t>LABEL</t>
        </is>
      </c>
      <c r="F1" s="1" t="inlineStr">
        <is>
          <t>PRESSBOX</t>
        </is>
      </c>
      <c r="H1" s="3" t="n"/>
      <c r="I1" s="2" t="inlineStr">
        <is>
          <t>ROYCE APPAREL</t>
        </is>
      </c>
    </row>
    <row r="2" ht="15" customFormat="1" customHeight="1" s="1" thickBot="1">
      <c r="A2" s="1" t="inlineStr">
        <is>
          <t>MOCKTAIL</t>
        </is>
      </c>
      <c r="C2" s="1" t="inlineStr">
        <is>
          <t>WS #</t>
        </is>
      </c>
      <c r="D2" s="1" t="n">
        <v>72817</v>
      </c>
      <c r="E2" s="4" t="inlineStr">
        <is>
          <t>SHIP DATE</t>
        </is>
      </c>
      <c r="F2" s="15" t="n"/>
      <c r="G2" s="15" t="n"/>
      <c r="H2" s="5" t="n"/>
      <c r="I2" s="6" t="n"/>
      <c r="J2" s="20" t="inlineStr">
        <is>
          <t>Color 1</t>
        </is>
      </c>
      <c r="K2" s="21" t="n"/>
      <c r="M2" s="7" t="n"/>
    </row>
    <row r="3" ht="16" customFormat="1" customHeight="1" s="1" thickBot="1">
      <c r="A3" s="8" t="inlineStr">
        <is>
          <t>SR #</t>
        </is>
      </c>
      <c r="B3" s="8" t="inlineStr">
        <is>
          <t>CONTRACT #</t>
        </is>
      </c>
      <c r="C3" s="8" t="inlineStr">
        <is>
          <t>EMB</t>
        </is>
      </c>
      <c r="D3" s="8" t="inlineStr">
        <is>
          <t>MAIN BODY</t>
        </is>
      </c>
      <c r="E3" s="8" t="inlineStr">
        <is>
          <t>APPLIQUE</t>
        </is>
      </c>
      <c r="F3" s="8" t="inlineStr">
        <is>
          <t>BACK EMBROIDERY</t>
        </is>
      </c>
      <c r="G3" s="8" t="inlineStr">
        <is>
          <t>FRONT  EMB</t>
        </is>
      </c>
      <c r="H3" s="9" t="n"/>
      <c r="I3" s="10" t="inlineStr">
        <is>
          <t>QUANTITY</t>
        </is>
      </c>
      <c r="J3" s="10" t="inlineStr">
        <is>
          <t>FLEECE</t>
        </is>
      </c>
      <c r="K3" s="10" t="inlineStr">
        <is>
          <t>2 X 1 RIB</t>
        </is>
      </c>
      <c r="L3" s="10" t="inlineStr">
        <is>
          <t>TO &amp; DATE</t>
        </is>
      </c>
      <c r="M3" s="10" t="inlineStr">
        <is>
          <t>RETURN DATE</t>
        </is>
      </c>
      <c r="O3" s="7" t="n">
        <v>46344</v>
      </c>
    </row>
    <row r="4" ht="40" customFormat="1" customHeight="1" s="1" thickBot="1">
      <c r="A4" s="11" t="n">
        <v>1</v>
      </c>
      <c r="B4" s="8" t="n"/>
      <c r="C4" s="12" t="inlineStr">
        <is>
          <t>UTN</t>
        </is>
      </c>
      <c r="D4" s="12" t="inlineStr">
        <is>
          <t>IVR-</t>
        </is>
      </c>
      <c r="E4" s="12" t="n"/>
      <c r="F4" s="12" t="n"/>
      <c r="G4" s="12" t="n"/>
      <c r="H4" s="13" t="n">
        <v>48</v>
      </c>
      <c r="I4" s="14">
        <f>H4+10</f>
        <v/>
      </c>
      <c r="J4" s="14">
        <f>I4*0.933</f>
        <v/>
      </c>
      <c r="K4" s="14">
        <f>I4*0.13</f>
        <v/>
      </c>
      <c r="L4" s="14" t="n"/>
      <c r="M4" s="14" t="n"/>
    </row>
    <row r="5">
      <c r="H5">
        <f>SUM(H4:H4)</f>
        <v/>
      </c>
      <c r="I5">
        <f>SUM(I4:I4)</f>
        <v/>
      </c>
    </row>
    <row r="8" ht="15" customFormat="1" customHeight="1" s="1" thickBot="1">
      <c r="A8" s="1" t="inlineStr">
        <is>
          <t>CONTRACT PK</t>
        </is>
      </c>
      <c r="C8" s="2" t="n"/>
      <c r="E8" s="1" t="inlineStr">
        <is>
          <t>LABEL</t>
        </is>
      </c>
      <c r="F8" s="1" t="inlineStr">
        <is>
          <t>PRESSBOX</t>
        </is>
      </c>
      <c r="H8" s="3" t="n"/>
      <c r="I8" s="2" t="n"/>
    </row>
    <row r="9" ht="15" customFormat="1" customHeight="1" s="1" thickBot="1">
      <c r="A9" s="1" t="inlineStr">
        <is>
          <t>MOCKTAIL</t>
        </is>
      </c>
      <c r="C9" s="1" t="inlineStr">
        <is>
          <t>WS #</t>
        </is>
      </c>
      <c r="D9" s="1" t="n">
        <v>73338</v>
      </c>
      <c r="E9" s="4" t="inlineStr">
        <is>
          <t>SHIP DATE</t>
        </is>
      </c>
      <c r="F9" s="15" t="n"/>
      <c r="G9" s="15" t="n"/>
      <c r="H9" s="5" t="n"/>
      <c r="I9" s="6" t="n"/>
      <c r="J9" s="20" t="inlineStr">
        <is>
          <t>Color 1</t>
        </is>
      </c>
      <c r="K9" s="21" t="n"/>
      <c r="M9" s="7" t="n"/>
    </row>
    <row r="10" ht="16" customFormat="1" customHeight="1" s="1" thickBot="1">
      <c r="A10" s="8" t="inlineStr">
        <is>
          <t>SR #</t>
        </is>
      </c>
      <c r="B10" s="8" t="inlineStr">
        <is>
          <t>CONTRACT #</t>
        </is>
      </c>
      <c r="C10" s="8" t="inlineStr">
        <is>
          <t>EMB</t>
        </is>
      </c>
      <c r="D10" s="8" t="inlineStr">
        <is>
          <t>MAIN BODY</t>
        </is>
      </c>
      <c r="E10" s="8" t="inlineStr">
        <is>
          <t>APPLIQUE</t>
        </is>
      </c>
      <c r="F10" s="8" t="inlineStr">
        <is>
          <t>BACK EMBROIDERY</t>
        </is>
      </c>
      <c r="G10" s="8" t="inlineStr">
        <is>
          <t>FRONT  EMB</t>
        </is>
      </c>
      <c r="H10" s="9" t="n"/>
      <c r="I10" s="10" t="inlineStr">
        <is>
          <t>QUANTITY</t>
        </is>
      </c>
      <c r="J10" s="10" t="inlineStr">
        <is>
          <t>FLEECE</t>
        </is>
      </c>
      <c r="K10" s="10" t="inlineStr">
        <is>
          <t>2 X 1 RIB</t>
        </is>
      </c>
      <c r="L10" s="10" t="inlineStr">
        <is>
          <t>TO &amp; DATE</t>
        </is>
      </c>
      <c r="M10" s="10" t="inlineStr">
        <is>
          <t>RETURN DATE</t>
        </is>
      </c>
      <c r="O10" s="7" t="n">
        <v>46344</v>
      </c>
    </row>
    <row r="11" ht="40" customFormat="1" customHeight="1" s="1" thickBot="1">
      <c r="A11" s="11" t="n">
        <v>1</v>
      </c>
      <c r="B11" s="8" t="n"/>
      <c r="C11" s="12" t="inlineStr">
        <is>
          <t>ARK</t>
        </is>
      </c>
      <c r="D11" s="12" t="inlineStr">
        <is>
          <t>IVR-CRI</t>
        </is>
      </c>
      <c r="E11" s="12" t="n"/>
      <c r="F11" s="12" t="n"/>
      <c r="G11" s="12" t="n"/>
      <c r="H11" s="13" t="n">
        <v>18</v>
      </c>
      <c r="I11" s="14">
        <f>H11+10</f>
        <v/>
      </c>
      <c r="J11" s="14">
        <f>I11*0.933</f>
        <v/>
      </c>
      <c r="K11" s="14">
        <f>I11*0.13</f>
        <v/>
      </c>
      <c r="L11" s="14" t="n"/>
      <c r="M11" s="14" t="n"/>
    </row>
    <row r="12" ht="40" customFormat="1" customHeight="1" s="1" thickBot="1">
      <c r="A12" s="11">
        <f>A11+1</f>
        <v/>
      </c>
      <c r="B12" s="8" t="n"/>
      <c r="C12" s="12" t="inlineStr">
        <is>
          <t>CLE</t>
        </is>
      </c>
      <c r="D12" s="12" t="inlineStr">
        <is>
          <t>IVR-ORN</t>
        </is>
      </c>
      <c r="E12" s="12" t="n"/>
      <c r="F12" s="12" t="n"/>
      <c r="G12" s="12" t="n"/>
      <c r="H12" s="13" t="n">
        <v>24</v>
      </c>
      <c r="I12" s="14">
        <f>H12+10</f>
        <v/>
      </c>
      <c r="J12" s="14">
        <f>I12*0.933</f>
        <v/>
      </c>
      <c r="K12" s="14">
        <f>I12*0.13</f>
        <v/>
      </c>
      <c r="L12" s="14" t="n"/>
      <c r="M12" s="14" t="n"/>
    </row>
  </sheetData>
  <mergeCells count="2">
    <mergeCell ref="J2:K2"/>
    <mergeCell ref="J9:K9"/>
  </mergeCells>
  <pageMargins left="0.45" right="0.2" top="0.75" bottom="0.75" header="0.3" footer="0.3"/>
  <pageSetup orientation="landscape" scale="91"/>
  <colBreaks count="1" manualBreakCount="1">
    <brk id="13" min="0" max="1048575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topLeftCell="A18" zoomScaleNormal="100" workbookViewId="0">
      <selection activeCell="J24" sqref="J24:K24"/>
    </sheetView>
  </sheetViews>
  <sheetFormatPr baseColWidth="8" defaultRowHeight="14.5"/>
  <cols>
    <col width="11.36328125" bestFit="1" customWidth="1" min="2" max="2"/>
    <col width="10.7265625" bestFit="1" customWidth="1" min="4" max="4"/>
    <col width="12.90625" bestFit="1" customWidth="1" min="5" max="5"/>
    <col width="19.453125" customWidth="1" min="6" max="6"/>
    <col width="11.1796875" bestFit="1" customWidth="1" min="7" max="7"/>
    <col width="4.81640625" bestFit="1" customWidth="1" min="8" max="8"/>
    <col width="10.08984375" customWidth="1" min="9" max="9"/>
    <col width="7.1796875" bestFit="1" customWidth="1" min="10" max="10"/>
    <col width="8.54296875" bestFit="1" customWidth="1" min="11" max="11"/>
    <col width="25.453125" customWidth="1" min="12" max="12"/>
    <col width="26.08984375" customWidth="1" min="13" max="13"/>
  </cols>
  <sheetData>
    <row r="1" ht="15" customFormat="1" customHeight="1" s="1" thickBot="1">
      <c r="A1" s="1" t="inlineStr">
        <is>
          <t>CONTRACT PK</t>
        </is>
      </c>
      <c r="C1" s="2" t="n"/>
      <c r="E1" s="1" t="inlineStr">
        <is>
          <t>LABEL</t>
        </is>
      </c>
      <c r="F1" s="1" t="inlineStr">
        <is>
          <t>PRESSBOX</t>
        </is>
      </c>
      <c r="H1" s="3" t="n"/>
      <c r="I1" s="2" t="inlineStr">
        <is>
          <t>ROYCE APPAREL</t>
        </is>
      </c>
    </row>
    <row r="2" ht="15" customFormat="1" customHeight="1" s="1" thickBot="1">
      <c r="A2" s="1" t="inlineStr">
        <is>
          <t>MOCKTAIL</t>
        </is>
      </c>
      <c r="C2" s="1" t="inlineStr">
        <is>
          <t>WS #</t>
        </is>
      </c>
      <c r="D2" s="1" t="n">
        <v>72816</v>
      </c>
      <c r="E2" s="4" t="inlineStr">
        <is>
          <t>SHIP DATE</t>
        </is>
      </c>
      <c r="F2" s="15" t="n"/>
      <c r="G2" s="15" t="n"/>
      <c r="H2" s="5" t="n"/>
      <c r="I2" s="6" t="n"/>
      <c r="J2" s="20" t="inlineStr">
        <is>
          <t>Color 1</t>
        </is>
      </c>
      <c r="K2" s="21" t="n"/>
      <c r="M2" s="7" t="n"/>
    </row>
    <row r="3" ht="16" customFormat="1" customHeight="1" s="1" thickBot="1">
      <c r="A3" s="8" t="inlineStr">
        <is>
          <t>SR #</t>
        </is>
      </c>
      <c r="B3" s="8" t="inlineStr">
        <is>
          <t>CONTRACT #</t>
        </is>
      </c>
      <c r="C3" s="8" t="inlineStr">
        <is>
          <t>EMB</t>
        </is>
      </c>
      <c r="D3" s="8" t="inlineStr">
        <is>
          <t>MAIN BODY</t>
        </is>
      </c>
      <c r="E3" s="8" t="inlineStr">
        <is>
          <t>APPLIQUE</t>
        </is>
      </c>
      <c r="F3" s="8" t="inlineStr">
        <is>
          <t>BACK EMBROIDERY</t>
        </is>
      </c>
      <c r="G3" s="8" t="inlineStr">
        <is>
          <t>FRONT  EMB</t>
        </is>
      </c>
      <c r="H3" s="9" t="n"/>
      <c r="I3" s="10" t="inlineStr">
        <is>
          <t>QUANTITY</t>
        </is>
      </c>
      <c r="J3" s="10" t="inlineStr">
        <is>
          <t>FLEECE</t>
        </is>
      </c>
      <c r="K3" s="10" t="inlineStr">
        <is>
          <t>2 X 1 RIB</t>
        </is>
      </c>
      <c r="L3" s="10" t="inlineStr">
        <is>
          <t>TO &amp; DATE</t>
        </is>
      </c>
      <c r="M3" s="10" t="inlineStr">
        <is>
          <t>RETURN DATE</t>
        </is>
      </c>
      <c r="O3" s="7" t="n">
        <v>46372</v>
      </c>
    </row>
    <row r="4" ht="40" customFormat="1" customHeight="1" s="1" thickBot="1">
      <c r="A4" s="11" t="n">
        <v>1</v>
      </c>
      <c r="B4" s="8" t="n"/>
      <c r="C4" s="12" t="inlineStr">
        <is>
          <t>ARK</t>
        </is>
      </c>
      <c r="D4" s="12" t="inlineStr">
        <is>
          <t>IVR-</t>
        </is>
      </c>
      <c r="E4" s="12" t="n"/>
      <c r="F4" s="12" t="n"/>
      <c r="G4" s="12" t="n"/>
      <c r="H4" s="13" t="n">
        <v>30</v>
      </c>
      <c r="I4" s="14">
        <f>H4+10</f>
        <v/>
      </c>
      <c r="J4" s="14">
        <f>I4*0.933</f>
        <v/>
      </c>
      <c r="K4" s="14">
        <f>I4*0.13</f>
        <v/>
      </c>
      <c r="L4" s="14" t="n"/>
      <c r="M4" s="14" t="n"/>
    </row>
    <row r="5" ht="40" customFormat="1" customHeight="1" s="1" thickBot="1">
      <c r="A5" s="11">
        <f>A4+1</f>
        <v/>
      </c>
      <c r="B5" s="8" t="n"/>
      <c r="C5" s="12" t="inlineStr">
        <is>
          <t>ASU</t>
        </is>
      </c>
      <c r="D5" s="12" t="inlineStr">
        <is>
          <t>IVR-</t>
        </is>
      </c>
      <c r="E5" s="12" t="n"/>
      <c r="F5" s="12" t="n"/>
      <c r="G5" s="12" t="n"/>
      <c r="H5" s="13" t="n">
        <v>30</v>
      </c>
      <c r="I5" s="14">
        <f>H5+10</f>
        <v/>
      </c>
      <c r="J5" s="14">
        <f>I5*0.933</f>
        <v/>
      </c>
      <c r="K5" s="14">
        <f>I5*0.13</f>
        <v/>
      </c>
      <c r="L5" s="14" t="n"/>
      <c r="M5" s="14" t="n"/>
    </row>
    <row r="6" ht="40" customFormat="1" customHeight="1" s="1" thickBot="1">
      <c r="A6" s="11">
        <f>A5+1</f>
        <v/>
      </c>
      <c r="B6" s="8" t="n"/>
      <c r="C6" s="12" t="inlineStr">
        <is>
          <t>AUB</t>
        </is>
      </c>
      <c r="D6" s="12" t="inlineStr">
        <is>
          <t>IVR-</t>
        </is>
      </c>
      <c r="E6" s="12" t="n"/>
      <c r="F6" s="12" t="n"/>
      <c r="G6" s="12" t="n"/>
      <c r="H6" s="13" t="n">
        <v>54</v>
      </c>
      <c r="I6" s="14">
        <f>H6+10</f>
        <v/>
      </c>
      <c r="J6" s="14">
        <f>I6*0.933</f>
        <v/>
      </c>
      <c r="K6" s="14">
        <f>I6*0.13</f>
        <v/>
      </c>
      <c r="L6" s="14" t="n"/>
      <c r="M6" s="14" t="n"/>
    </row>
    <row r="7" ht="40" customFormat="1" customHeight="1" s="1" thickBot="1">
      <c r="A7" s="11">
        <f>A6+1</f>
        <v/>
      </c>
      <c r="B7" s="8" t="n"/>
      <c r="C7" s="12" t="inlineStr">
        <is>
          <t>CLE</t>
        </is>
      </c>
      <c r="D7" s="12" t="inlineStr">
        <is>
          <t>IVR-</t>
        </is>
      </c>
      <c r="E7" s="12" t="n"/>
      <c r="F7" s="12" t="n"/>
      <c r="G7" s="12" t="n"/>
      <c r="H7" s="13" t="n">
        <v>30</v>
      </c>
      <c r="I7" s="14">
        <f>H7+10</f>
        <v/>
      </c>
      <c r="J7" s="14">
        <f>I7*0.933</f>
        <v/>
      </c>
      <c r="K7" s="14">
        <f>I7*0.13</f>
        <v/>
      </c>
      <c r="L7" s="14" t="n"/>
      <c r="M7" s="14" t="n"/>
    </row>
    <row r="8" ht="40" customFormat="1" customHeight="1" s="1" thickBot="1">
      <c r="A8" s="11">
        <f>A7+1</f>
        <v/>
      </c>
      <c r="B8" s="8" t="n"/>
      <c r="C8" s="12" t="inlineStr">
        <is>
          <t>ETS</t>
        </is>
      </c>
      <c r="D8" s="12" t="inlineStr">
        <is>
          <t>IVR-</t>
        </is>
      </c>
      <c r="E8" s="12" t="n"/>
      <c r="F8" s="12" t="n"/>
      <c r="G8" s="12" t="n"/>
      <c r="H8" s="13" t="n">
        <v>30</v>
      </c>
      <c r="I8" s="14">
        <f>H8+10</f>
        <v/>
      </c>
      <c r="J8" s="14">
        <f>I8*0.933</f>
        <v/>
      </c>
      <c r="K8" s="14">
        <f>I8*0.13</f>
        <v/>
      </c>
      <c r="L8" s="14" t="n"/>
      <c r="M8" s="14" t="n"/>
    </row>
    <row r="9" ht="40" customFormat="1" customHeight="1" s="1" thickBot="1">
      <c r="A9" s="11">
        <f>A8+1</f>
        <v/>
      </c>
      <c r="B9" s="8" t="n"/>
      <c r="C9" s="12" t="inlineStr">
        <is>
          <t>IND</t>
        </is>
      </c>
      <c r="D9" s="12" t="inlineStr">
        <is>
          <t>IVR-</t>
        </is>
      </c>
      <c r="E9" s="12" t="n"/>
      <c r="F9" s="12" t="n"/>
      <c r="G9" s="12" t="n"/>
      <c r="H9" s="13" t="n">
        <v>30</v>
      </c>
      <c r="I9" s="14">
        <f>H9+10</f>
        <v/>
      </c>
      <c r="J9" s="14">
        <f>I9*0.933</f>
        <v/>
      </c>
      <c r="K9" s="14">
        <f>I9*0.13</f>
        <v/>
      </c>
      <c r="L9" s="14" t="n"/>
      <c r="M9" s="14" t="n"/>
    </row>
    <row r="10" ht="40" customFormat="1" customHeight="1" s="1" thickBot="1">
      <c r="A10" s="11">
        <f>A9+1</f>
        <v/>
      </c>
      <c r="B10" s="8" t="n"/>
      <c r="C10" s="12" t="inlineStr">
        <is>
          <t>LSU</t>
        </is>
      </c>
      <c r="D10" s="12" t="inlineStr">
        <is>
          <t>IVR-</t>
        </is>
      </c>
      <c r="E10" s="12" t="n"/>
      <c r="F10" s="12" t="n"/>
      <c r="G10" s="12" t="n"/>
      <c r="H10" s="13" t="n">
        <v>30</v>
      </c>
      <c r="I10" s="14">
        <f>H10+10</f>
        <v/>
      </c>
      <c r="J10" s="14">
        <f>I10*0.933</f>
        <v/>
      </c>
      <c r="K10" s="14">
        <f>I10*0.13</f>
        <v/>
      </c>
      <c r="L10" s="14" t="n"/>
      <c r="M10" s="14" t="n"/>
    </row>
    <row r="11" ht="40" customFormat="1" customHeight="1" s="1" thickBot="1">
      <c r="A11" s="11">
        <f>A10+1</f>
        <v/>
      </c>
      <c r="B11" s="8" t="n"/>
      <c r="C11" s="12" t="inlineStr">
        <is>
          <t>MIS</t>
        </is>
      </c>
      <c r="D11" s="12" t="inlineStr">
        <is>
          <t>IVR-</t>
        </is>
      </c>
      <c r="E11" s="12" t="n"/>
      <c r="F11" s="12" t="n"/>
      <c r="G11" s="12" t="n"/>
      <c r="H11" s="13" t="n">
        <v>30</v>
      </c>
      <c r="I11" s="14">
        <f>H11+10</f>
        <v/>
      </c>
      <c r="J11" s="14">
        <f>I11*0.933</f>
        <v/>
      </c>
      <c r="K11" s="14">
        <f>I11*0.13</f>
        <v/>
      </c>
      <c r="L11" s="14" t="n"/>
      <c r="M11" s="14" t="n"/>
    </row>
    <row r="12" ht="40" customFormat="1" customHeight="1" s="1" thickBot="1">
      <c r="A12" s="11">
        <f>A11+1</f>
        <v/>
      </c>
      <c r="B12" s="8" t="n"/>
      <c r="C12" s="12" t="inlineStr">
        <is>
          <t>MSS</t>
        </is>
      </c>
      <c r="D12" s="12" t="inlineStr">
        <is>
          <t>IVR-</t>
        </is>
      </c>
      <c r="E12" s="12" t="n"/>
      <c r="F12" s="12" t="n"/>
      <c r="G12" s="12" t="n"/>
      <c r="H12" s="13" t="n">
        <v>30</v>
      </c>
      <c r="I12" s="14">
        <f>H12+10</f>
        <v/>
      </c>
      <c r="J12" s="14">
        <f>I12*0.933</f>
        <v/>
      </c>
      <c r="K12" s="14">
        <f>I12*0.13</f>
        <v/>
      </c>
      <c r="L12" s="14" t="n"/>
      <c r="M12" s="14" t="n"/>
    </row>
    <row r="13" ht="40" customFormat="1" customHeight="1" s="1" thickBot="1">
      <c r="A13" s="11">
        <f>A12+1</f>
        <v/>
      </c>
      <c r="B13" s="8" t="n"/>
      <c r="C13" s="12" t="inlineStr">
        <is>
          <t>NCS</t>
        </is>
      </c>
      <c r="D13" s="12" t="inlineStr">
        <is>
          <t>IVR-</t>
        </is>
      </c>
      <c r="E13" s="12" t="n"/>
      <c r="F13" s="12" t="n"/>
      <c r="G13" s="12" t="n"/>
      <c r="H13" s="13" t="n">
        <v>30</v>
      </c>
      <c r="I13" s="14">
        <f>H13+10</f>
        <v/>
      </c>
      <c r="J13" s="14">
        <f>I13*0.933</f>
        <v/>
      </c>
      <c r="K13" s="14">
        <f>I13*0.13</f>
        <v/>
      </c>
      <c r="L13" s="14" t="n"/>
      <c r="M13" s="14" t="n"/>
    </row>
    <row r="14" ht="40" customFormat="1" customHeight="1" s="1" thickBot="1">
      <c r="A14" s="11">
        <f>A13+1</f>
        <v/>
      </c>
      <c r="B14" s="8" t="n"/>
      <c r="C14" s="12" t="inlineStr">
        <is>
          <t>NEB</t>
        </is>
      </c>
      <c r="D14" s="12" t="inlineStr">
        <is>
          <t>IVR-</t>
        </is>
      </c>
      <c r="E14" s="12" t="n"/>
      <c r="F14" s="12" t="n"/>
      <c r="G14" s="12" t="n"/>
      <c r="H14" s="13" t="n">
        <v>30</v>
      </c>
      <c r="I14" s="14">
        <f>H14+10</f>
        <v/>
      </c>
      <c r="J14" s="14">
        <f>I14*0.933</f>
        <v/>
      </c>
      <c r="K14" s="14">
        <f>I14*0.13</f>
        <v/>
      </c>
      <c r="L14" s="14" t="n"/>
      <c r="M14" s="14" t="n"/>
    </row>
    <row r="15" ht="40" customFormat="1" customHeight="1" s="1" thickBot="1">
      <c r="A15" s="11">
        <f>A14+1</f>
        <v/>
      </c>
      <c r="B15" s="8" t="n"/>
      <c r="C15" s="12" t="inlineStr">
        <is>
          <t>UAL</t>
        </is>
      </c>
      <c r="D15" s="12" t="inlineStr">
        <is>
          <t>IVR-</t>
        </is>
      </c>
      <c r="E15" s="12" t="n"/>
      <c r="F15" s="12" t="n"/>
      <c r="G15" s="12" t="n"/>
      <c r="H15" s="13" t="n">
        <v>30</v>
      </c>
      <c r="I15" s="14">
        <f>H15+10</f>
        <v/>
      </c>
      <c r="J15" s="14">
        <f>I15*0.933</f>
        <v/>
      </c>
      <c r="K15" s="14">
        <f>I15*0.13</f>
        <v/>
      </c>
      <c r="L15" s="14" t="n"/>
      <c r="M15" s="14" t="n"/>
    </row>
    <row r="16" ht="40" customFormat="1" customHeight="1" s="1" thickBot="1">
      <c r="A16" s="11">
        <f>A15+1</f>
        <v/>
      </c>
      <c r="B16" s="8" t="n"/>
      <c r="C16" s="12" t="inlineStr">
        <is>
          <t>UFL</t>
        </is>
      </c>
      <c r="D16" s="12" t="inlineStr">
        <is>
          <t>IVR-</t>
        </is>
      </c>
      <c r="E16" s="12" t="n"/>
      <c r="F16" s="12" t="n"/>
      <c r="G16" s="12" t="n"/>
      <c r="H16" s="13" t="n">
        <v>48</v>
      </c>
      <c r="I16" s="14">
        <f>H16+10</f>
        <v/>
      </c>
      <c r="J16" s="14">
        <f>I16*0.933</f>
        <v/>
      </c>
      <c r="K16" s="14">
        <f>I16*0.13</f>
        <v/>
      </c>
      <c r="L16" s="14" t="n"/>
      <c r="M16" s="14" t="n"/>
    </row>
    <row r="17" ht="40" customFormat="1" customHeight="1" s="1" thickBot="1">
      <c r="A17" s="11">
        <f>A16+1</f>
        <v/>
      </c>
      <c r="B17" s="8" t="n"/>
      <c r="C17" s="12" t="inlineStr">
        <is>
          <t>UGA</t>
        </is>
      </c>
      <c r="D17" s="12" t="inlineStr">
        <is>
          <t>IVR-</t>
        </is>
      </c>
      <c r="E17" s="12" t="n"/>
      <c r="F17" s="12" t="n"/>
      <c r="G17" s="12" t="n"/>
      <c r="H17" s="13" t="n">
        <v>30</v>
      </c>
      <c r="I17" s="14">
        <f>H17+10</f>
        <v/>
      </c>
      <c r="J17" s="14">
        <f>I17*0.933</f>
        <v/>
      </c>
      <c r="K17" s="14">
        <f>I17*0.13</f>
        <v/>
      </c>
      <c r="L17" s="14" t="n"/>
      <c r="M17" s="14" t="n"/>
    </row>
    <row r="18" ht="40" customFormat="1" customHeight="1" s="1" thickBot="1">
      <c r="A18" s="11">
        <f>A17+1</f>
        <v/>
      </c>
      <c r="B18" s="8" t="n"/>
      <c r="C18" s="12" t="inlineStr">
        <is>
          <t>UKY</t>
        </is>
      </c>
      <c r="D18" s="12" t="inlineStr">
        <is>
          <t>IVR-</t>
        </is>
      </c>
      <c r="E18" s="12" t="n"/>
      <c r="F18" s="12" t="n"/>
      <c r="G18" s="12" t="n"/>
      <c r="H18" s="13" t="n">
        <v>60</v>
      </c>
      <c r="I18" s="14">
        <f>H18+10</f>
        <v/>
      </c>
      <c r="J18" s="14">
        <f>I18*0.933</f>
        <v/>
      </c>
      <c r="K18" s="14">
        <f>I18*0.13</f>
        <v/>
      </c>
      <c r="L18" s="14" t="n"/>
      <c r="M18" s="14" t="n"/>
    </row>
    <row r="19" ht="40" customFormat="1" customHeight="1" s="1" thickBot="1">
      <c r="A19" s="11">
        <f>A18+1</f>
        <v/>
      </c>
      <c r="B19" s="8" t="n"/>
      <c r="C19" s="12" t="inlineStr">
        <is>
          <t>UNC</t>
        </is>
      </c>
      <c r="D19" s="12" t="inlineStr">
        <is>
          <t>IVR-</t>
        </is>
      </c>
      <c r="E19" s="12" t="n"/>
      <c r="F19" s="12" t="n"/>
      <c r="G19" s="12" t="n"/>
      <c r="H19" s="13" t="n">
        <v>30</v>
      </c>
      <c r="I19" s="14">
        <f>H19+10</f>
        <v/>
      </c>
      <c r="J19" s="14">
        <f>I19*0.933</f>
        <v/>
      </c>
      <c r="K19" s="14">
        <f>I19*0.13</f>
        <v/>
      </c>
      <c r="L19" s="14" t="n"/>
      <c r="M19" s="14" t="n"/>
    </row>
    <row r="20" ht="40" customFormat="1" customHeight="1" s="1" thickBot="1">
      <c r="A20" s="11">
        <f>A19+1</f>
        <v/>
      </c>
      <c r="B20" s="8" t="n"/>
      <c r="C20" s="12" t="inlineStr">
        <is>
          <t>UTN</t>
        </is>
      </c>
      <c r="D20" s="12" t="inlineStr">
        <is>
          <t>IVR-</t>
        </is>
      </c>
      <c r="E20" s="12" t="n"/>
      <c r="F20" s="12" t="n"/>
      <c r="G20" s="12" t="n"/>
      <c r="H20" s="13" t="n">
        <v>84</v>
      </c>
      <c r="I20" s="14">
        <f>H20+10</f>
        <v/>
      </c>
      <c r="J20" s="14">
        <f>I20*0.933</f>
        <v/>
      </c>
      <c r="K20" s="14">
        <f>I20*0.13</f>
        <v/>
      </c>
      <c r="L20" s="14" t="n"/>
      <c r="M20" s="14" t="n"/>
    </row>
    <row r="21" ht="40" customFormat="1" customHeight="1" s="1" thickBot="1">
      <c r="A21" s="11">
        <f>A20+1</f>
        <v/>
      </c>
      <c r="B21" s="8" t="n"/>
      <c r="C21" s="12" t="inlineStr">
        <is>
          <t>VTU</t>
        </is>
      </c>
      <c r="D21" s="12" t="inlineStr">
        <is>
          <t>IVR-</t>
        </is>
      </c>
      <c r="E21" s="12" t="n"/>
      <c r="F21" s="12" t="n"/>
      <c r="G21" s="12" t="n"/>
      <c r="H21" s="13" t="n">
        <v>30</v>
      </c>
      <c r="I21" s="14">
        <f>H21+10</f>
        <v/>
      </c>
      <c r="J21" s="14">
        <f>I21*0.933</f>
        <v/>
      </c>
      <c r="K21" s="14">
        <f>I21*0.13</f>
        <v/>
      </c>
      <c r="L21" s="14" t="n"/>
      <c r="M21" s="14" t="n"/>
    </row>
    <row r="22" ht="40" customFormat="1" customHeight="1" s="1" thickBot="1">
      <c r="A22" s="11">
        <f>A21+1</f>
        <v/>
      </c>
      <c r="B22" s="8" t="n"/>
      <c r="C22" s="12" t="inlineStr">
        <is>
          <t>WKU</t>
        </is>
      </c>
      <c r="D22" s="12" t="inlineStr">
        <is>
          <t>IVR-</t>
        </is>
      </c>
      <c r="E22" s="12" t="n"/>
      <c r="F22" s="12" t="n"/>
      <c r="G22" s="12" t="n"/>
      <c r="H22" s="13" t="n">
        <v>30</v>
      </c>
      <c r="I22" s="14">
        <f>H22+10</f>
        <v/>
      </c>
      <c r="J22" s="14">
        <f>I22*0.933</f>
        <v/>
      </c>
      <c r="K22" s="14">
        <f>I22*0.13</f>
        <v/>
      </c>
      <c r="L22" s="14" t="n"/>
      <c r="M22" s="14" t="n"/>
    </row>
    <row r="23" ht="40" customFormat="1" customHeight="1" s="1" thickBot="1">
      <c r="A23" s="11">
        <f>A22+1</f>
        <v/>
      </c>
      <c r="B23" s="8" t="n"/>
      <c r="C23" s="12" t="inlineStr">
        <is>
          <t>WVU</t>
        </is>
      </c>
      <c r="D23" s="12" t="inlineStr">
        <is>
          <t>IVR-</t>
        </is>
      </c>
      <c r="E23" s="12" t="n"/>
      <c r="F23" s="12" t="n"/>
      <c r="G23" s="12" t="n"/>
      <c r="H23" s="13" t="n">
        <v>54</v>
      </c>
      <c r="I23" s="14">
        <f>H23+10</f>
        <v/>
      </c>
      <c r="J23" s="14">
        <f>I23*0.933</f>
        <v/>
      </c>
      <c r="K23" s="14">
        <f>I23*0.13</f>
        <v/>
      </c>
      <c r="L23" s="14" t="n"/>
      <c r="M23" s="14" t="n"/>
    </row>
    <row r="24">
      <c r="H24">
        <f>SUM(H4:H23)</f>
        <v/>
      </c>
      <c r="I24">
        <f>SUM(I4:I23)</f>
        <v/>
      </c>
      <c r="J24">
        <f>SUM(J4:J23)</f>
        <v/>
      </c>
      <c r="K24">
        <f>SUM(K4:K23)</f>
        <v/>
      </c>
    </row>
  </sheetData>
  <mergeCells count="1">
    <mergeCell ref="J2:K2"/>
  </mergeCells>
  <pageMargins left="0.45" right="0.2" top="0.75" bottom="0.75" header="0.3" footer="0.3"/>
  <pageSetup orientation="landscape" scale="91"/>
  <colBreaks count="1" manualBreakCount="1">
    <brk id="13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Sair Shafiq ur Rehman</dc:creator>
  <dcterms:created xsi:type="dcterms:W3CDTF">2015-06-05T18:17:20Z</dcterms:created>
  <dcterms:modified xsi:type="dcterms:W3CDTF">2026-08-29T19:08:31Z</dcterms:modified>
  <cp:lastModifiedBy>Sair Shafiq ur Rehman</cp:lastModifiedBy>
  <cp:lastPrinted>2026-07-20T08:04:01Z</cp:lastPrinted>
</cp:coreProperties>
</file>