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WS73465" sheetId="1" state="visible" r:id="rId1"/>
  </sheets>
  <definedNames>
    <definedName name="_xlnm.Print_Area" localSheetId="0">'WS73465'!$A$1:$L$4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2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16" fontId="7" fillId="0" borderId="0" applyAlignment="1" pivotButton="0" quotePrefix="0" xfId="0">
      <alignment horizontal="center"/>
    </xf>
    <xf numFmtId="16" fontId="5" fillId="0" borderId="0" pivotButton="0" quotePrefix="0" xfId="0"/>
    <xf numFmtId="0" fontId="6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1" fontId="8" fillId="0" borderId="3" applyAlignment="1" pivotButton="0" quotePrefix="0" xfId="0">
      <alignment horizontal="center" vertical="center"/>
    </xf>
    <xf numFmtId="16" fontId="7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zoomScaleNormal="100" workbookViewId="0">
      <selection activeCell="F2" sqref="F2"/>
    </sheetView>
  </sheetViews>
  <sheetFormatPr baseColWidth="8" defaultRowHeight="14.5"/>
  <cols>
    <col width="11.36328125" bestFit="1" customWidth="1" min="2" max="2"/>
    <col width="10.7265625" bestFit="1" customWidth="1" min="4" max="4"/>
    <col width="12.90625" bestFit="1" customWidth="1" min="5" max="5"/>
    <col width="24" customWidth="1" min="6" max="6"/>
    <col width="4.81640625" bestFit="1" customWidth="1" min="7" max="7"/>
    <col width="10.1796875" customWidth="1" min="8" max="8"/>
    <col width="7.1796875" bestFit="1" customWidth="1" min="9" max="9"/>
    <col width="8.54296875" bestFit="1" customWidth="1" min="10" max="10"/>
    <col width="25.453125" customWidth="1" min="11" max="11"/>
    <col width="26.08984375" customWidth="1" min="12" max="12"/>
  </cols>
  <sheetData>
    <row r="1" ht="15" customFormat="1" customHeight="1" s="1" thickBot="1">
      <c r="A1" s="1" t="inlineStr">
        <is>
          <t>TEAM PK</t>
        </is>
      </c>
      <c r="C1" s="2" t="n"/>
      <c r="D1" s="5" t="n"/>
      <c r="E1" s="1" t="inlineStr">
        <is>
          <t>LABEL</t>
        </is>
      </c>
      <c r="F1" s="1" t="inlineStr">
        <is>
          <t>PRESSBOX</t>
        </is>
      </c>
      <c r="G1" s="3" t="n"/>
      <c r="H1" s="2" t="inlineStr">
        <is>
          <t>ROYCE APPAREL</t>
        </is>
      </c>
    </row>
    <row r="2" ht="15" customFormat="1" customHeight="1" s="1" thickBot="1">
      <c r="A2" s="1" t="inlineStr">
        <is>
          <t>HILDA</t>
        </is>
      </c>
      <c r="C2" s="1" t="inlineStr">
        <is>
          <t>WS #</t>
        </is>
      </c>
      <c r="D2" s="1" t="n">
        <v>73465</v>
      </c>
      <c r="E2" s="4" t="inlineStr">
        <is>
          <t>SHIP DATE</t>
        </is>
      </c>
      <c r="F2" s="15" t="n"/>
      <c r="G2" s="5" t="n"/>
      <c r="H2" s="6" t="n"/>
      <c r="I2" s="18" t="inlineStr">
        <is>
          <t>Color 1</t>
        </is>
      </c>
      <c r="J2" s="19" t="n"/>
      <c r="L2" s="7" t="n"/>
    </row>
    <row r="3" ht="16" customFormat="1" customHeight="1" s="1" thickBot="1">
      <c r="A3" s="8" t="inlineStr">
        <is>
          <t>SR #</t>
        </is>
      </c>
      <c r="B3" s="8" t="inlineStr">
        <is>
          <t>TEAM #</t>
        </is>
      </c>
      <c r="C3" s="8" t="inlineStr">
        <is>
          <t>EMB</t>
        </is>
      </c>
      <c r="D3" s="8" t="inlineStr">
        <is>
          <t>MAIN BODY</t>
        </is>
      </c>
      <c r="E3" s="8" t="inlineStr">
        <is>
          <t>APPLIQUE</t>
        </is>
      </c>
      <c r="F3" s="8" t="inlineStr">
        <is>
          <t>EMBROIDERY DESIGN</t>
        </is>
      </c>
      <c r="G3" s="9" t="n"/>
      <c r="H3" s="10" t="inlineStr">
        <is>
          <t>QUANTITY</t>
        </is>
      </c>
      <c r="I3" s="10" t="inlineStr">
        <is>
          <t>FLEECE</t>
        </is>
      </c>
      <c r="J3" s="10" t="inlineStr">
        <is>
          <t>2 X 1 RIB</t>
        </is>
      </c>
      <c r="K3" s="10" t="inlineStr">
        <is>
          <t>TO &amp; DATE</t>
        </is>
      </c>
      <c r="L3" s="10" t="inlineStr">
        <is>
          <t>RETURN DATE</t>
        </is>
      </c>
      <c r="N3" s="7" t="n">
        <v>46372</v>
      </c>
    </row>
    <row r="4" ht="58" customFormat="1" customHeight="1" s="1" thickBot="1">
      <c r="A4" s="11" t="n">
        <v>1</v>
      </c>
      <c r="B4" s="8" t="n"/>
      <c r="C4" s="12" t="inlineStr">
        <is>
          <t>OSU</t>
        </is>
      </c>
      <c r="D4" s="12" t="inlineStr">
        <is>
          <t>ASH</t>
        </is>
      </c>
      <c r="E4" s="12" t="n"/>
      <c r="F4" s="12" t="n"/>
      <c r="G4" s="13" t="n">
        <v>192</v>
      </c>
      <c r="H4" s="14">
        <f>G4+6</f>
        <v/>
      </c>
      <c r="I4" s="14">
        <f>H4*0.933</f>
        <v/>
      </c>
      <c r="J4" s="14">
        <f>H4*0.13</f>
        <v/>
      </c>
      <c r="K4" s="14" t="n"/>
      <c r="L4" s="14" t="n"/>
    </row>
    <row r="5" ht="38.5" customFormat="1" customHeight="1" s="1" thickBot="1">
      <c r="A5" s="11">
        <f>A4+1</f>
        <v/>
      </c>
      <c r="B5" s="8" t="n"/>
      <c r="C5" s="12" t="inlineStr">
        <is>
          <t>PIT</t>
        </is>
      </c>
      <c r="D5" s="12" t="inlineStr">
        <is>
          <t>ASH</t>
        </is>
      </c>
      <c r="E5" s="12" t="n"/>
      <c r="F5" s="12" t="n"/>
      <c r="G5" s="13" t="n">
        <v>48</v>
      </c>
      <c r="H5" s="14">
        <f>G5+6</f>
        <v/>
      </c>
      <c r="I5" s="14">
        <f>H5*0.933</f>
        <v/>
      </c>
      <c r="J5" s="14">
        <f>H5*0.13</f>
        <v/>
      </c>
      <c r="K5" s="14" t="n"/>
      <c r="L5" s="14" t="n"/>
    </row>
    <row r="6" ht="38.5" customFormat="1" customHeight="1" s="1" thickBot="1">
      <c r="A6" s="11">
        <f>A5+1</f>
        <v/>
      </c>
      <c r="B6" s="8" t="n"/>
      <c r="C6" s="12" t="inlineStr">
        <is>
          <t>PSU</t>
        </is>
      </c>
      <c r="D6" s="12" t="inlineStr">
        <is>
          <t>ASH</t>
        </is>
      </c>
      <c r="E6" s="12" t="n"/>
      <c r="F6" s="12" t="n"/>
      <c r="G6" s="13" t="n">
        <v>168</v>
      </c>
      <c r="H6" s="14">
        <f>G6+6</f>
        <v/>
      </c>
      <c r="I6" s="14">
        <f>H6*0.933</f>
        <v/>
      </c>
      <c r="J6" s="14">
        <f>H6*0.13</f>
        <v/>
      </c>
      <c r="K6" s="14" t="n"/>
      <c r="L6" s="14" t="n"/>
    </row>
    <row r="7" ht="38.5" customFormat="1" customHeight="1" s="1" thickBot="1">
      <c r="A7" s="11">
        <f>A6+1</f>
        <v/>
      </c>
      <c r="B7" s="8" t="n"/>
      <c r="C7" s="12" t="inlineStr">
        <is>
          <t>TEX</t>
        </is>
      </c>
      <c r="D7" s="12" t="inlineStr">
        <is>
          <t>ASH</t>
        </is>
      </c>
      <c r="E7" s="12" t="n"/>
      <c r="F7" s="12" t="n"/>
      <c r="G7" s="13" t="n">
        <v>168</v>
      </c>
      <c r="H7" s="14">
        <f>G7+6</f>
        <v/>
      </c>
      <c r="I7" s="14">
        <f>H7*0.933</f>
        <v/>
      </c>
      <c r="J7" s="14">
        <f>H7*0.13</f>
        <v/>
      </c>
      <c r="K7" s="14" t="n"/>
      <c r="L7" s="14" t="n"/>
    </row>
    <row r="8" ht="38.5" customFormat="1" customHeight="1" s="1" thickBot="1">
      <c r="A8" s="11">
        <f>A7+1</f>
        <v/>
      </c>
      <c r="B8" s="8" t="n"/>
      <c r="C8" s="12" t="inlineStr">
        <is>
          <t>UAL</t>
        </is>
      </c>
      <c r="D8" s="12" t="inlineStr">
        <is>
          <t>ASH</t>
        </is>
      </c>
      <c r="E8" s="12" t="n"/>
      <c r="F8" s="12" t="n"/>
      <c r="G8" s="13" t="n">
        <v>60</v>
      </c>
      <c r="H8" s="14">
        <f>G8+6</f>
        <v/>
      </c>
      <c r="I8" s="14">
        <f>H8*0.933</f>
        <v/>
      </c>
      <c r="J8" s="14">
        <f>H8*0.13</f>
        <v/>
      </c>
      <c r="K8" s="14" t="n"/>
      <c r="L8" s="14" t="n"/>
    </row>
    <row r="9" ht="38.5" customFormat="1" customHeight="1" s="1" thickBot="1">
      <c r="A9" s="11">
        <f>A8+1</f>
        <v/>
      </c>
      <c r="B9" s="8" t="n"/>
      <c r="C9" s="12" t="inlineStr">
        <is>
          <t>UFL</t>
        </is>
      </c>
      <c r="D9" s="12" t="inlineStr">
        <is>
          <t>ASH</t>
        </is>
      </c>
      <c r="E9" s="12" t="n"/>
      <c r="F9" s="12" t="n"/>
      <c r="G9" s="13" t="n">
        <v>60</v>
      </c>
      <c r="H9" s="14">
        <f>G9+6</f>
        <v/>
      </c>
      <c r="I9" s="14">
        <f>H9*0.933</f>
        <v/>
      </c>
      <c r="J9" s="14">
        <f>H9*0.13</f>
        <v/>
      </c>
      <c r="K9" s="14" t="n"/>
      <c r="L9" s="14" t="n"/>
    </row>
    <row r="10" ht="38.5" customFormat="1" customHeight="1" s="1" thickBot="1">
      <c r="A10" s="11">
        <f>A9+1</f>
        <v/>
      </c>
      <c r="B10" s="8" t="n"/>
      <c r="C10" s="12" t="inlineStr">
        <is>
          <t>UGA</t>
        </is>
      </c>
      <c r="D10" s="12" t="inlineStr">
        <is>
          <t>ASH</t>
        </is>
      </c>
      <c r="E10" s="12" t="n"/>
      <c r="F10" s="12" t="n"/>
      <c r="G10" s="13" t="n">
        <v>132</v>
      </c>
      <c r="H10" s="14">
        <f>G10+6</f>
        <v/>
      </c>
      <c r="I10" s="14">
        <f>H10*0.933</f>
        <v/>
      </c>
      <c r="J10" s="14">
        <f>H10*0.13</f>
        <v/>
      </c>
      <c r="K10" s="14" t="n"/>
      <c r="L10" s="14" t="n"/>
    </row>
    <row r="11" ht="38.5" customFormat="1" customHeight="1" s="1" thickBot="1">
      <c r="A11" s="11">
        <f>A10+1</f>
        <v/>
      </c>
      <c r="B11" s="8" t="n"/>
      <c r="C11" s="12" t="inlineStr">
        <is>
          <t>UMI</t>
        </is>
      </c>
      <c r="D11" s="12" t="inlineStr">
        <is>
          <t>ASH</t>
        </is>
      </c>
      <c r="E11" s="12" t="n"/>
      <c r="F11" s="12" t="n"/>
      <c r="G11" s="13" t="n">
        <v>108</v>
      </c>
      <c r="H11" s="14">
        <f>G11+6</f>
        <v/>
      </c>
      <c r="I11" s="14">
        <f>H11*0.933</f>
        <v/>
      </c>
      <c r="J11" s="14">
        <f>H11*0.13</f>
        <v/>
      </c>
      <c r="K11" s="14" t="n"/>
      <c r="L11" s="14" t="n"/>
    </row>
    <row r="12" ht="38.5" customFormat="1" customHeight="1" s="1" thickBot="1">
      <c r="A12" s="11">
        <f>A11+1</f>
        <v/>
      </c>
      <c r="B12" s="8" t="n"/>
      <c r="C12" s="12" t="inlineStr">
        <is>
          <t>UTN</t>
        </is>
      </c>
      <c r="D12" s="12" t="inlineStr">
        <is>
          <t>ASH</t>
        </is>
      </c>
      <c r="E12" s="12" t="n"/>
      <c r="F12" s="12" t="n"/>
      <c r="G12" s="13" t="n">
        <v>96</v>
      </c>
      <c r="H12" s="14">
        <f>G12+6</f>
        <v/>
      </c>
      <c r="I12" s="14">
        <f>H12*0.933</f>
        <v/>
      </c>
      <c r="J12" s="14">
        <f>H12*0.13</f>
        <v/>
      </c>
      <c r="K12" s="14" t="n"/>
      <c r="L12" s="14" t="n"/>
    </row>
    <row r="13" ht="38.5" customFormat="1" customHeight="1" s="1" thickBot="1">
      <c r="A13" s="11">
        <f>A12+1</f>
        <v/>
      </c>
      <c r="B13" s="8" t="n"/>
      <c r="C13" s="12" t="inlineStr">
        <is>
          <t>WVU</t>
        </is>
      </c>
      <c r="D13" s="12" t="inlineStr">
        <is>
          <t>ASH</t>
        </is>
      </c>
      <c r="E13" s="12" t="n"/>
      <c r="F13" s="12" t="n"/>
      <c r="G13" s="13" t="n">
        <v>96</v>
      </c>
      <c r="H13" s="14">
        <f>G13+6</f>
        <v/>
      </c>
      <c r="I13" s="14">
        <f>H13*0.933</f>
        <v/>
      </c>
      <c r="J13" s="14">
        <f>H13*0.13</f>
        <v/>
      </c>
      <c r="K13" s="14" t="n"/>
      <c r="L13" s="14" t="n"/>
    </row>
    <row r="14">
      <c r="G14">
        <f>SUM(G4:G13)</f>
        <v/>
      </c>
      <c r="H14">
        <f>SUM(H4:H13)</f>
        <v/>
      </c>
    </row>
  </sheetData>
  <mergeCells count="1">
    <mergeCell ref="I2:J2"/>
  </mergeCells>
  <pageMargins left="0.7" right="0.7" top="0.75" bottom="0.75" header="0.3" footer="0.3"/>
  <pageSetup orientation="landscape" scale="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Sair Shafiq ur Rehman</dc:creator>
  <dcterms:created xsi:type="dcterms:W3CDTF">2015-06-05T18:17:20Z</dcterms:created>
  <dcterms:modified xsi:type="dcterms:W3CDTF">2026-08-29T19:08:31Z</dcterms:modified>
  <cp:lastModifiedBy>Sair Shafiq ur Rehman</cp:lastModifiedBy>
  <cp:lastPrinted>2026-07-29T09:02:37Z</cp:lastPrinted>
</cp:coreProperties>
</file>