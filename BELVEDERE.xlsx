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1" autoFilterDateGrouping="1"/>
  </bookViews>
  <sheets>
    <sheet name="WS73494" sheetId="1" state="visible" r:id="rId1"/>
    <sheet name="WS72849" sheetId="2" state="visible" r:id="rId2"/>
  </sheets>
  <definedNames>
    <definedName name="_xlnm.Print_Area" localSheetId="0">'WS73494'!$A$1:$M$20</definedName>
    <definedName name="_xlnm.Print_Area" localSheetId="1">'WS72849'!$A$1:$N$86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2"/>
      <scheme val="minor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" fontId="5" fillId="0" borderId="0" pivotButton="0" quotePrefix="0" xfId="0"/>
    <xf numFmtId="0" fontId="5" fillId="0" borderId="0" pivotButton="0" quotePrefix="0" xfId="0"/>
    <xf numFmtId="0" fontId="4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vertical="center"/>
    </xf>
    <xf numFmtId="1" fontId="6" fillId="0" borderId="3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vertical="center"/>
    </xf>
    <xf numFmtId="16" fontId="3" fillId="0" borderId="0" pivotButton="0" quotePrefix="0" xfId="0"/>
    <xf numFmtId="1" fontId="3" fillId="0" borderId="0" pivotButton="0" quotePrefix="0" xfId="0"/>
    <xf numFmtId="0" fontId="3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topLeftCell="A18" zoomScaleNormal="100" workbookViewId="0">
      <selection activeCell="L21" sqref="L21"/>
    </sheetView>
  </sheetViews>
  <sheetFormatPr baseColWidth="8" defaultColWidth="9.1796875" defaultRowHeight="14.5"/>
  <cols>
    <col width="4.81640625" customWidth="1" style="1" min="1" max="1"/>
    <col width="11.36328125" bestFit="1" customWidth="1" style="1" min="2" max="2"/>
    <col width="7" customWidth="1" style="1" min="3" max="3"/>
    <col width="10.7265625" bestFit="1" customWidth="1" style="1" min="4" max="4"/>
    <col width="10" bestFit="1" customWidth="1" style="1" min="5" max="5"/>
    <col width="22.453125" customWidth="1" style="1" min="6" max="6"/>
    <col width="14.26953125" customWidth="1" style="1" min="7" max="7"/>
    <col width="4.81640625" bestFit="1" customWidth="1" style="10" min="8" max="8"/>
    <col width="10.1796875" customWidth="1" style="1" min="9" max="9"/>
    <col width="7.1796875" bestFit="1" customWidth="1" style="1" min="10" max="10"/>
    <col width="8.54296875" bestFit="1" customWidth="1" style="1" min="11" max="11"/>
    <col width="21.6328125" customWidth="1" style="1" min="12" max="13"/>
    <col width="9.1796875" customWidth="1" style="1" min="14" max="16384"/>
  </cols>
  <sheetData>
    <row r="1" ht="15" customHeight="1" thickBot="1">
      <c r="A1" s="1" t="inlineStr">
        <is>
          <t>CONTRACT # PK</t>
        </is>
      </c>
      <c r="E1" s="1" t="inlineStr">
        <is>
          <t>LABEL</t>
        </is>
      </c>
      <c r="F1" s="1" t="inlineStr">
        <is>
          <t>PRESSBOX</t>
        </is>
      </c>
      <c r="G1" s="2" t="inlineStr">
        <is>
          <t>ROYCE APPAREL</t>
        </is>
      </c>
      <c r="I1" s="2" t="n"/>
    </row>
    <row r="2" ht="15" customHeight="1" thickBot="1">
      <c r="A2" s="1" t="inlineStr">
        <is>
          <t>BELVEDERE</t>
        </is>
      </c>
      <c r="C2" s="1" t="inlineStr">
        <is>
          <t>WS #</t>
        </is>
      </c>
      <c r="D2" s="1" t="n">
        <v>73494</v>
      </c>
      <c r="E2" s="4" t="inlineStr">
        <is>
          <t>SHIP DATE:</t>
        </is>
      </c>
      <c r="F2" s="3" t="n"/>
      <c r="G2" s="4" t="n"/>
      <c r="J2" s="18" t="inlineStr">
        <is>
          <t>Color 1</t>
        </is>
      </c>
      <c r="K2" s="19" t="n"/>
    </row>
    <row r="3" ht="20.15" customHeight="1" thickBot="1">
      <c r="A3" s="5" t="inlineStr">
        <is>
          <t>SR #</t>
        </is>
      </c>
      <c r="B3" s="5" t="inlineStr">
        <is>
          <t>CONTRACT #</t>
        </is>
      </c>
      <c r="C3" s="5" t="inlineStr">
        <is>
          <t>EMB</t>
        </is>
      </c>
      <c r="D3" s="5" t="inlineStr">
        <is>
          <t>MAIN BODY</t>
        </is>
      </c>
      <c r="E3" s="5" t="inlineStr">
        <is>
          <t>APPLIQUE</t>
        </is>
      </c>
      <c r="F3" s="5" t="inlineStr">
        <is>
          <t>BACK DESIGN</t>
        </is>
      </c>
      <c r="G3" s="5" t="inlineStr">
        <is>
          <t>HOOD DESIGN</t>
        </is>
      </c>
      <c r="H3" s="11" t="n"/>
      <c r="I3" s="6" t="inlineStr">
        <is>
          <t>QUANTITY</t>
        </is>
      </c>
      <c r="J3" s="6" t="inlineStr">
        <is>
          <t>FLEECE</t>
        </is>
      </c>
      <c r="K3" s="6" t="inlineStr">
        <is>
          <t>2 X 1 RIB</t>
        </is>
      </c>
      <c r="L3" s="6" t="inlineStr">
        <is>
          <t>TO &amp; DATE</t>
        </is>
      </c>
      <c r="M3" s="6" t="inlineStr">
        <is>
          <t>RETURN DATE</t>
        </is>
      </c>
      <c r="O3" s="13" t="n">
        <v>46316</v>
      </c>
    </row>
    <row r="4" ht="40" customHeight="1" thickBot="1">
      <c r="A4" s="7" t="n">
        <v>1</v>
      </c>
      <c r="B4" s="7" t="n"/>
      <c r="C4" s="8" t="inlineStr">
        <is>
          <t>CIN</t>
        </is>
      </c>
      <c r="D4" s="8" t="inlineStr">
        <is>
          <t>RED</t>
        </is>
      </c>
      <c r="E4" s="8" t="n"/>
      <c r="F4" s="8" t="n"/>
      <c r="G4" s="8" t="n"/>
      <c r="H4" s="12" t="n">
        <v>48</v>
      </c>
      <c r="I4" s="9">
        <f>H4+6</f>
        <v/>
      </c>
      <c r="J4" s="9">
        <f>I4*1.04</f>
        <v/>
      </c>
      <c r="K4" s="9">
        <f>I4*0.13</f>
        <v/>
      </c>
      <c r="L4" s="9" t="n"/>
      <c r="M4" s="9" t="n"/>
    </row>
    <row r="5" ht="40" customHeight="1" thickBot="1">
      <c r="A5" s="7">
        <f>A4+1</f>
        <v/>
      </c>
      <c r="B5" s="7" t="n"/>
      <c r="C5" s="8" t="inlineStr">
        <is>
          <t>ILL</t>
        </is>
      </c>
      <c r="D5" s="8" t="inlineStr">
        <is>
          <t>NVY</t>
        </is>
      </c>
      <c r="E5" s="8" t="n"/>
      <c r="F5" s="8" t="n"/>
      <c r="G5" s="8" t="n"/>
      <c r="H5" s="12" t="n">
        <v>128</v>
      </c>
      <c r="I5" s="9">
        <f>H5+6</f>
        <v/>
      </c>
      <c r="J5" s="9">
        <f>I5*1.04</f>
        <v/>
      </c>
      <c r="K5" s="9">
        <f>I5*0.13</f>
        <v/>
      </c>
      <c r="L5" s="9" t="n"/>
      <c r="M5" s="9" t="n"/>
    </row>
    <row r="6" ht="40" customHeight="1" thickBot="1">
      <c r="A6" s="7">
        <f>A5+1</f>
        <v/>
      </c>
      <c r="B6" s="7" t="n"/>
      <c r="C6" s="8" t="inlineStr">
        <is>
          <t>IND</t>
        </is>
      </c>
      <c r="D6" s="8" t="inlineStr">
        <is>
          <t>CRI</t>
        </is>
      </c>
      <c r="E6" s="8" t="n"/>
      <c r="F6" s="8" t="n"/>
      <c r="G6" s="8" t="n"/>
      <c r="H6" s="12" t="n">
        <v>112</v>
      </c>
      <c r="I6" s="9">
        <f>H6+6</f>
        <v/>
      </c>
      <c r="J6" s="9">
        <f>I6*1.04</f>
        <v/>
      </c>
      <c r="K6" s="9">
        <f>I6*0.13</f>
        <v/>
      </c>
      <c r="L6" s="9" t="n"/>
      <c r="M6" s="9" t="n"/>
    </row>
    <row r="7" ht="40" customHeight="1" thickBot="1">
      <c r="A7" s="7">
        <f>A6+1</f>
        <v/>
      </c>
      <c r="B7" s="7" t="n"/>
      <c r="C7" s="8" t="inlineStr">
        <is>
          <t>IWA</t>
        </is>
      </c>
      <c r="D7" s="8" t="inlineStr">
        <is>
          <t>BLK</t>
        </is>
      </c>
      <c r="E7" s="8" t="n"/>
      <c r="F7" s="8" t="n"/>
      <c r="G7" s="8" t="n"/>
      <c r="H7" s="12" t="n">
        <v>88</v>
      </c>
      <c r="I7" s="9">
        <f>H7+6</f>
        <v/>
      </c>
      <c r="J7" s="9">
        <f>I7*1.04</f>
        <v/>
      </c>
      <c r="K7" s="9">
        <f>I7*0.13</f>
        <v/>
      </c>
      <c r="L7" s="9" t="n"/>
      <c r="M7" s="9" t="n"/>
    </row>
    <row r="8" ht="40" customHeight="1" thickBot="1">
      <c r="A8" s="7">
        <f>A7+1</f>
        <v/>
      </c>
      <c r="B8" s="7" t="n"/>
      <c r="C8" s="8" t="inlineStr">
        <is>
          <t>KAN</t>
        </is>
      </c>
      <c r="D8" s="8" t="inlineStr">
        <is>
          <t>ROY</t>
        </is>
      </c>
      <c r="E8" s="8" t="n"/>
      <c r="F8" s="8" t="n"/>
      <c r="G8" s="8" t="n"/>
      <c r="H8" s="12" t="n">
        <v>48</v>
      </c>
      <c r="I8" s="9">
        <f>H8+6</f>
        <v/>
      </c>
      <c r="J8" s="9">
        <f>I8*1.04</f>
        <v/>
      </c>
      <c r="K8" s="9">
        <f>I8*0.13</f>
        <v/>
      </c>
      <c r="L8" s="9" t="n"/>
      <c r="M8" s="9" t="n"/>
    </row>
    <row r="9" ht="40" customHeight="1" thickBot="1">
      <c r="A9" s="7">
        <f>A8+1</f>
        <v/>
      </c>
      <c r="B9" s="7" t="n"/>
      <c r="C9" s="8" t="inlineStr">
        <is>
          <t>KSU</t>
        </is>
      </c>
      <c r="D9" s="8" t="inlineStr">
        <is>
          <t>PPL</t>
        </is>
      </c>
      <c r="E9" s="8" t="n"/>
      <c r="F9" s="8" t="n"/>
      <c r="G9" s="8" t="n"/>
      <c r="H9" s="12" t="n">
        <v>48</v>
      </c>
      <c r="I9" s="9">
        <f>H9+6</f>
        <v/>
      </c>
      <c r="J9" s="9">
        <f>I9*1.04</f>
        <v/>
      </c>
      <c r="K9" s="9">
        <f>I9*0.13</f>
        <v/>
      </c>
      <c r="L9" s="9" t="n"/>
      <c r="M9" s="9" t="n"/>
      <c r="O9" s="1">
        <f>8692-2544</f>
        <v/>
      </c>
    </row>
    <row r="10" ht="40" customHeight="1" thickBot="1">
      <c r="A10" s="7">
        <f>A9+1</f>
        <v/>
      </c>
      <c r="B10" s="7" t="n"/>
      <c r="C10" s="8" t="inlineStr">
        <is>
          <t>MIS</t>
        </is>
      </c>
      <c r="D10" s="8" t="inlineStr">
        <is>
          <t>GRN</t>
        </is>
      </c>
      <c r="E10" s="8" t="n"/>
      <c r="F10" s="8" t="n"/>
      <c r="G10" s="8" t="n"/>
      <c r="H10" s="12" t="n">
        <v>96</v>
      </c>
      <c r="I10" s="9">
        <f>H10+6</f>
        <v/>
      </c>
      <c r="J10" s="9">
        <f>I10*1.04</f>
        <v/>
      </c>
      <c r="K10" s="9">
        <f>I10*0.13</f>
        <v/>
      </c>
      <c r="L10" s="9" t="n"/>
      <c r="M10" s="9" t="n"/>
    </row>
    <row r="11" ht="40" customHeight="1" thickBot="1">
      <c r="A11" s="7">
        <f>A10+1</f>
        <v/>
      </c>
      <c r="B11" s="7" t="n"/>
      <c r="C11" s="8" t="inlineStr">
        <is>
          <t>NEB</t>
        </is>
      </c>
      <c r="D11" s="8" t="inlineStr">
        <is>
          <t>RED</t>
        </is>
      </c>
      <c r="E11" s="8" t="n"/>
      <c r="F11" s="8" t="n"/>
      <c r="G11" s="8" t="n"/>
      <c r="H11" s="12" t="n">
        <v>48</v>
      </c>
      <c r="I11" s="9">
        <f>H11+6</f>
        <v/>
      </c>
      <c r="J11" s="9">
        <f>I11*1.04</f>
        <v/>
      </c>
      <c r="K11" s="9">
        <f>I11*0.13</f>
        <v/>
      </c>
      <c r="L11" s="9" t="n"/>
      <c r="M11" s="9" t="n"/>
    </row>
    <row r="12" ht="40" customHeight="1" thickBot="1">
      <c r="A12" s="7">
        <f>A11+1</f>
        <v/>
      </c>
      <c r="B12" s="7" t="n"/>
      <c r="C12" s="8" t="inlineStr">
        <is>
          <t>OKL</t>
        </is>
      </c>
      <c r="D12" s="8" t="inlineStr">
        <is>
          <t>CRI</t>
        </is>
      </c>
      <c r="E12" s="8" t="n"/>
      <c r="F12" s="8" t="n"/>
      <c r="G12" s="8" t="n"/>
      <c r="H12" s="12" t="n">
        <v>48</v>
      </c>
      <c r="I12" s="9">
        <f>H12+6</f>
        <v/>
      </c>
      <c r="J12" s="9">
        <f>I12*1.04</f>
        <v/>
      </c>
      <c r="K12" s="9">
        <f>I12*0.13</f>
        <v/>
      </c>
      <c r="L12" s="9" t="n"/>
      <c r="M12" s="9" t="n"/>
    </row>
    <row r="13" ht="40" customHeight="1" thickBot="1">
      <c r="A13" s="7">
        <f>A12+1</f>
        <v/>
      </c>
      <c r="B13" s="7" t="n"/>
      <c r="C13" s="8" t="inlineStr">
        <is>
          <t>OSU</t>
        </is>
      </c>
      <c r="D13" s="8" t="inlineStr">
        <is>
          <t>RED</t>
        </is>
      </c>
      <c r="E13" s="8" t="n"/>
      <c r="F13" s="8" t="n"/>
      <c r="G13" s="8" t="n"/>
      <c r="H13" s="12" t="n">
        <v>152</v>
      </c>
      <c r="I13" s="9">
        <f>H13+6</f>
        <v/>
      </c>
      <c r="J13" s="9">
        <f>I13*1.04</f>
        <v/>
      </c>
      <c r="K13" s="9">
        <f>I13*0.13</f>
        <v/>
      </c>
      <c r="L13" s="9" t="n"/>
      <c r="M13" s="9" t="n"/>
    </row>
    <row r="14" ht="40" customHeight="1" thickBot="1">
      <c r="A14" s="7">
        <f>A13+1</f>
        <v/>
      </c>
      <c r="B14" s="7" t="n"/>
      <c r="C14" s="8" t="inlineStr">
        <is>
          <t>PUR</t>
        </is>
      </c>
      <c r="D14" s="8" t="inlineStr">
        <is>
          <t>BLK</t>
        </is>
      </c>
      <c r="E14" s="8" t="n"/>
      <c r="F14" s="8" t="n"/>
      <c r="G14" s="8" t="n"/>
      <c r="H14" s="12" t="n">
        <v>80</v>
      </c>
      <c r="I14" s="9">
        <f>H14+6</f>
        <v/>
      </c>
      <c r="J14" s="9">
        <f>I14*1.04</f>
        <v/>
      </c>
      <c r="K14" s="9">
        <f>I14*0.13</f>
        <v/>
      </c>
      <c r="L14" s="9" t="n"/>
      <c r="M14" s="9" t="n"/>
    </row>
    <row r="15" ht="40" customHeight="1" thickBot="1">
      <c r="A15" s="7">
        <f>A14+1</f>
        <v/>
      </c>
      <c r="B15" s="7" t="n"/>
      <c r="C15" s="8" t="inlineStr">
        <is>
          <t>UKY</t>
        </is>
      </c>
      <c r="D15" s="8" t="inlineStr">
        <is>
          <t>ROY</t>
        </is>
      </c>
      <c r="E15" s="8" t="n"/>
      <c r="F15" s="8" t="n"/>
      <c r="G15" s="8" t="n"/>
      <c r="H15" s="12" t="n">
        <v>48</v>
      </c>
      <c r="I15" s="9">
        <f>H15+6</f>
        <v/>
      </c>
      <c r="J15" s="9">
        <f>I15*1.04</f>
        <v/>
      </c>
      <c r="K15" s="9">
        <f>I15*0.13</f>
        <v/>
      </c>
      <c r="L15" s="9" t="n"/>
      <c r="M15" s="9" t="n"/>
    </row>
    <row r="16" ht="40" customHeight="1" thickBot="1">
      <c r="A16" s="7">
        <f>A15+1</f>
        <v/>
      </c>
      <c r="B16" s="7" t="n"/>
      <c r="C16" s="8" t="inlineStr">
        <is>
          <t>UMI</t>
        </is>
      </c>
      <c r="D16" s="8" t="inlineStr">
        <is>
          <t>NVY</t>
        </is>
      </c>
      <c r="E16" s="8" t="n"/>
      <c r="F16" s="8" t="n"/>
      <c r="G16" s="8" t="n"/>
      <c r="H16" s="12" t="n">
        <v>96</v>
      </c>
      <c r="I16" s="9">
        <f>H16+6</f>
        <v/>
      </c>
      <c r="J16" s="9">
        <f>I16*1.04</f>
        <v/>
      </c>
      <c r="K16" s="9">
        <f>I16*0.13</f>
        <v/>
      </c>
      <c r="L16" s="9" t="n"/>
      <c r="M16" s="9" t="n"/>
    </row>
    <row r="17" ht="40" customHeight="1" thickBot="1">
      <c r="A17" s="7">
        <f>A16+1</f>
        <v/>
      </c>
      <c r="B17" s="7" t="n"/>
      <c r="C17" s="8" t="inlineStr">
        <is>
          <t>USC</t>
        </is>
      </c>
      <c r="D17" s="8" t="inlineStr">
        <is>
          <t>GNT</t>
        </is>
      </c>
      <c r="E17" s="8" t="n"/>
      <c r="F17" s="8" t="n"/>
      <c r="G17" s="8" t="n"/>
      <c r="H17" s="12" t="n">
        <v>48</v>
      </c>
      <c r="I17" s="9">
        <f>H17+6</f>
        <v/>
      </c>
      <c r="J17" s="9">
        <f>I17*1.04</f>
        <v/>
      </c>
      <c r="K17" s="9">
        <f>I17*0.13</f>
        <v/>
      </c>
      <c r="L17" s="9" t="n"/>
      <c r="M17" s="9" t="n"/>
    </row>
    <row r="18" ht="40" customHeight="1" thickBot="1">
      <c r="A18" s="7">
        <f>A17+1</f>
        <v/>
      </c>
      <c r="B18" s="7" t="n"/>
      <c r="C18" s="8" t="inlineStr">
        <is>
          <t>UTN</t>
        </is>
      </c>
      <c r="D18" s="8" t="inlineStr">
        <is>
          <t>LTO</t>
        </is>
      </c>
      <c r="E18" s="8" t="n"/>
      <c r="F18" s="8" t="n"/>
      <c r="G18" s="8" t="n"/>
      <c r="H18" s="12" t="n">
        <v>64</v>
      </c>
      <c r="I18" s="9">
        <f>H18+6</f>
        <v/>
      </c>
      <c r="J18" s="9">
        <f>I18*1.04</f>
        <v/>
      </c>
      <c r="K18" s="9">
        <f>I18*0.13</f>
        <v/>
      </c>
      <c r="L18" s="9" t="n"/>
      <c r="M18" s="9" t="n"/>
    </row>
    <row r="19" ht="40" customHeight="1" thickBot="1">
      <c r="A19" s="7">
        <f>A18+1</f>
        <v/>
      </c>
      <c r="B19" s="7" t="n"/>
      <c r="C19" s="8" t="inlineStr">
        <is>
          <t>WIS</t>
        </is>
      </c>
      <c r="D19" s="8" t="inlineStr">
        <is>
          <t>RED</t>
        </is>
      </c>
      <c r="E19" s="8" t="n"/>
      <c r="F19" s="8" t="n"/>
      <c r="G19" s="8" t="n"/>
      <c r="H19" s="12" t="n">
        <v>48</v>
      </c>
      <c r="I19" s="9">
        <f>H19+6</f>
        <v/>
      </c>
      <c r="J19" s="9">
        <f>I19*1.04</f>
        <v/>
      </c>
      <c r="K19" s="9">
        <f>I19*0.13</f>
        <v/>
      </c>
      <c r="L19" s="9" t="n"/>
      <c r="M19" s="9" t="n"/>
    </row>
    <row r="20">
      <c r="H20" s="10">
        <f>SUM(H4:H19)</f>
        <v/>
      </c>
      <c r="I20" s="10">
        <f>SUM(I4:I19)</f>
        <v/>
      </c>
      <c r="J20" s="1">
        <f>I20*1.04</f>
        <v/>
      </c>
      <c r="K20" s="1">
        <f>I20*0.13</f>
        <v/>
      </c>
    </row>
    <row r="24">
      <c r="B24" s="1" t="inlineStr">
        <is>
          <t>BLACK</t>
        </is>
      </c>
      <c r="D24" s="1" t="inlineStr">
        <is>
          <t>BLACK</t>
        </is>
      </c>
      <c r="H24" s="10">
        <f>SUM(H7,H14)</f>
        <v/>
      </c>
      <c r="I24" s="10">
        <f>SUM(I7,I14)</f>
        <v/>
      </c>
      <c r="J24" s="10">
        <f>SUM(J7,J14)</f>
        <v/>
      </c>
      <c r="K24" s="10" t="n"/>
    </row>
    <row r="25">
      <c r="B25" s="1" t="inlineStr">
        <is>
          <t>PURPLE</t>
        </is>
      </c>
      <c r="D25" s="1" t="inlineStr">
        <is>
          <t>PURPLE</t>
        </is>
      </c>
      <c r="H25" s="10">
        <f>SUM(H9)</f>
        <v/>
      </c>
      <c r="I25" s="10">
        <f>SUM(I9)</f>
        <v/>
      </c>
      <c r="J25" s="10">
        <f>SUM(J9)</f>
        <v/>
      </c>
      <c r="K25" s="10" t="n"/>
    </row>
    <row r="26">
      <c r="B26" s="1" t="inlineStr">
        <is>
          <t>GREEN</t>
        </is>
      </c>
      <c r="D26" s="1" t="inlineStr">
        <is>
          <t>GREEN</t>
        </is>
      </c>
      <c r="H26" s="10">
        <f>SUM(H10)</f>
        <v/>
      </c>
      <c r="I26" s="10">
        <f>SUM(I10)</f>
        <v/>
      </c>
      <c r="J26" s="10">
        <f>SUM(J10)</f>
        <v/>
      </c>
      <c r="K26" s="10" t="n"/>
    </row>
    <row r="27">
      <c r="B27" s="1" t="inlineStr">
        <is>
          <t>NAVY</t>
        </is>
      </c>
      <c r="D27" s="1" t="inlineStr">
        <is>
          <t>NAVY</t>
        </is>
      </c>
      <c r="H27" s="10">
        <f>SUM(H5,H16)</f>
        <v/>
      </c>
      <c r="I27" s="10">
        <f>SUM(I5,I16)</f>
        <v/>
      </c>
      <c r="J27" s="10">
        <f>SUM(J5,J16)</f>
        <v/>
      </c>
      <c r="K27" s="10" t="n"/>
    </row>
    <row r="28">
      <c r="B28" s="1" t="inlineStr">
        <is>
          <t>KELLEY GREEN</t>
        </is>
      </c>
      <c r="D28" s="1" t="inlineStr">
        <is>
          <t>KELLEY GREEN</t>
        </is>
      </c>
      <c r="I28" s="10" t="n"/>
      <c r="J28" s="10" t="n"/>
      <c r="K28" s="10" t="n"/>
    </row>
    <row r="29">
      <c r="B29" s="1" t="inlineStr">
        <is>
          <t>RED</t>
        </is>
      </c>
      <c r="D29" s="1" t="inlineStr">
        <is>
          <t>RED</t>
        </is>
      </c>
      <c r="H29" s="10">
        <f>SUM(H4,H11,H13,H19)</f>
        <v/>
      </c>
      <c r="I29" s="10">
        <f>SUM(I4,I11,I13,I19)</f>
        <v/>
      </c>
      <c r="J29" s="10">
        <f>SUM(J4,J11,J13,J19)</f>
        <v/>
      </c>
      <c r="K29" s="10" t="n"/>
    </row>
    <row r="30">
      <c r="B30" s="1" t="inlineStr">
        <is>
          <t>ROYAL</t>
        </is>
      </c>
      <c r="D30" s="1" t="inlineStr">
        <is>
          <t>ROYAL</t>
        </is>
      </c>
      <c r="H30" s="10">
        <f>SUM(H8,H15)</f>
        <v/>
      </c>
      <c r="I30" s="10">
        <f>SUM(I8,I15)</f>
        <v/>
      </c>
      <c r="J30" s="10">
        <f>SUM(J8,J15)</f>
        <v/>
      </c>
      <c r="K30" s="10" t="n"/>
    </row>
    <row r="31">
      <c r="B31" s="1" t="inlineStr">
        <is>
          <t>MAROON</t>
        </is>
      </c>
      <c r="D31" s="1" t="inlineStr">
        <is>
          <t>MAROON</t>
        </is>
      </c>
      <c r="I31" s="10" t="n"/>
      <c r="J31" s="10" t="n"/>
      <c r="K31" s="10" t="n"/>
    </row>
    <row r="32">
      <c r="B32" s="1" t="inlineStr">
        <is>
          <t>BTO</t>
        </is>
      </c>
      <c r="D32" s="1" t="inlineStr">
        <is>
          <t>BTO</t>
        </is>
      </c>
      <c r="I32" s="10" t="n"/>
      <c r="J32" s="10" t="n"/>
      <c r="K32" s="10" t="n"/>
    </row>
    <row r="33">
      <c r="B33" s="1" t="inlineStr">
        <is>
          <t>CRIMSON</t>
        </is>
      </c>
      <c r="D33" s="1" t="inlineStr">
        <is>
          <t>CRIMSON</t>
        </is>
      </c>
      <c r="H33" s="10">
        <f>SUM(H6,H12)</f>
        <v/>
      </c>
      <c r="I33" s="10">
        <f>SUM(I6,I12)</f>
        <v/>
      </c>
      <c r="J33" s="10">
        <f>SUM(J6,J12)</f>
        <v/>
      </c>
      <c r="K33" s="10" t="n"/>
    </row>
    <row r="34">
      <c r="B34" s="1" t="inlineStr">
        <is>
          <t>LT BLUE</t>
        </is>
      </c>
      <c r="D34" s="1" t="inlineStr">
        <is>
          <t>LT BLUE</t>
        </is>
      </c>
      <c r="I34" s="10" t="n"/>
      <c r="J34" s="10" t="n"/>
      <c r="K34" s="10" t="n"/>
    </row>
    <row r="35">
      <c r="B35" s="1" t="inlineStr">
        <is>
          <t>LT ORANGE</t>
        </is>
      </c>
      <c r="D35" s="1" t="inlineStr">
        <is>
          <t>LT ORANGE</t>
        </is>
      </c>
      <c r="H35" s="10">
        <f>SUM(H18)</f>
        <v/>
      </c>
      <c r="I35" s="10">
        <f>SUM(I18)</f>
        <v/>
      </c>
      <c r="J35" s="10">
        <f>SUM(J18)</f>
        <v/>
      </c>
      <c r="K35" s="10" t="n"/>
    </row>
    <row r="36">
      <c r="B36" s="15" t="inlineStr">
        <is>
          <t>ORANGE</t>
        </is>
      </c>
      <c r="D36" s="15" t="inlineStr">
        <is>
          <t>ORANGE</t>
        </is>
      </c>
      <c r="I36" s="10" t="n"/>
      <c r="J36" s="10" t="n"/>
      <c r="K36" s="10" t="n"/>
    </row>
    <row r="37">
      <c r="B37" s="15" t="inlineStr">
        <is>
          <t>GARNET</t>
        </is>
      </c>
      <c r="D37" s="15" t="inlineStr">
        <is>
          <t>GARNET</t>
        </is>
      </c>
      <c r="H37" s="10">
        <f>SUM(H17)</f>
        <v/>
      </c>
      <c r="I37" s="10">
        <f>SUM(I17)</f>
        <v/>
      </c>
      <c r="J37" s="10">
        <f>SUM(J17)</f>
        <v/>
      </c>
      <c r="K37" s="10" t="n"/>
    </row>
  </sheetData>
  <mergeCells count="1">
    <mergeCell ref="J2:K2"/>
  </mergeCells>
  <pageMargins left="0.45" right="0.2" top="0.75" bottom="0.75" header="0.3" footer="0.3"/>
  <pageSetup orientation="landscape" scale="95"/>
  <colBreaks count="1" manualBreakCount="1">
    <brk id="13" min="0" max="1048575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3"/>
  <sheetViews>
    <sheetView tabSelected="1" zoomScaleNormal="100" workbookViewId="0">
      <selection activeCell="G6" sqref="G6"/>
    </sheetView>
  </sheetViews>
  <sheetFormatPr baseColWidth="8" defaultColWidth="9.1796875" defaultRowHeight="14.5"/>
  <cols>
    <col width="4.81640625" customWidth="1" style="1" min="1" max="1"/>
    <col width="11.36328125" bestFit="1" customWidth="1" style="1" min="2" max="2"/>
    <col width="7" customWidth="1" style="1" min="3" max="3"/>
    <col width="10.7265625" bestFit="1" customWidth="1" style="1" min="4" max="4"/>
    <col width="10" bestFit="1" customWidth="1" style="1" min="5" max="5"/>
    <col width="27" customWidth="1" style="1" min="6" max="6"/>
    <col width="14" bestFit="1" customWidth="1" style="1" min="7" max="7"/>
    <col width="14" bestFit="1" customWidth="1" style="1" min="8" max="8"/>
    <col width="4.81640625" bestFit="1" customWidth="1" style="10" min="9" max="9"/>
    <col width="10.1796875" customWidth="1" style="1" min="10" max="10"/>
    <col width="7.1796875" bestFit="1" customWidth="1" style="1" min="11" max="11"/>
    <col width="8.54296875" bestFit="1" customWidth="1" style="1" min="12" max="12"/>
    <col width="21.6328125" customWidth="1" style="1" min="13" max="14"/>
    <col width="9.1796875" customWidth="1" style="1" min="15" max="16384"/>
  </cols>
  <sheetData>
    <row r="1" ht="15" customHeight="1" thickBot="1">
      <c r="A1" s="1" t="inlineStr">
        <is>
          <t>TEAM PK</t>
        </is>
      </c>
      <c r="E1" s="1" t="inlineStr">
        <is>
          <t>LABEL</t>
        </is>
      </c>
      <c r="F1" s="1" t="inlineStr">
        <is>
          <t>PRESSBOX</t>
        </is>
      </c>
      <c r="G1" s="2" t="inlineStr">
        <is>
          <t>ROYCE APPAREL</t>
        </is>
      </c>
      <c r="J1" s="2" t="n"/>
    </row>
    <row r="2" ht="15" customHeight="1" thickBot="1">
      <c r="A2" s="1" t="inlineStr">
        <is>
          <t>BELVEDERE</t>
        </is>
      </c>
      <c r="C2" s="1" t="inlineStr">
        <is>
          <t>WS #</t>
        </is>
      </c>
      <c r="D2" s="1" t="n">
        <v>72849</v>
      </c>
      <c r="E2" s="4" t="inlineStr">
        <is>
          <t>SHIP DATE:</t>
        </is>
      </c>
      <c r="F2" s="3" t="n"/>
      <c r="G2" s="3" t="n"/>
      <c r="H2" s="4" t="n"/>
      <c r="K2" s="18" t="inlineStr">
        <is>
          <t>Color 1</t>
        </is>
      </c>
      <c r="L2" s="19" t="n"/>
    </row>
    <row r="3" ht="20.15" customHeight="1" thickBot="1">
      <c r="A3" s="5" t="inlineStr">
        <is>
          <t>SR #</t>
        </is>
      </c>
      <c r="B3" s="5" t="inlineStr">
        <is>
          <t>TEAM #</t>
        </is>
      </c>
      <c r="C3" s="5" t="inlineStr">
        <is>
          <t>EMB</t>
        </is>
      </c>
      <c r="D3" s="5" t="inlineStr">
        <is>
          <t>MAIN BODY</t>
        </is>
      </c>
      <c r="E3" s="5" t="inlineStr">
        <is>
          <t>APPLIQUE</t>
        </is>
      </c>
      <c r="F3" s="5" t="inlineStr">
        <is>
          <t>BACK DESIGN</t>
        </is>
      </c>
      <c r="G3" s="5" t="inlineStr">
        <is>
          <t>FRONT DESIGN</t>
        </is>
      </c>
      <c r="H3" s="5" t="inlineStr">
        <is>
          <t>HOOD DESIGN</t>
        </is>
      </c>
      <c r="I3" s="11" t="n"/>
      <c r="J3" s="6" t="inlineStr">
        <is>
          <t>QUANTITY</t>
        </is>
      </c>
      <c r="K3" s="6" t="inlineStr">
        <is>
          <t>FLEECE</t>
        </is>
      </c>
      <c r="L3" s="6" t="inlineStr">
        <is>
          <t>2 X 1 RIB</t>
        </is>
      </c>
      <c r="M3" s="6" t="inlineStr">
        <is>
          <t>TO &amp; DATE</t>
        </is>
      </c>
      <c r="N3" s="6" t="inlineStr">
        <is>
          <t>RETURN DATE</t>
        </is>
      </c>
      <c r="P3" s="13" t="n">
        <v>46316</v>
      </c>
    </row>
    <row r="4" ht="58" customHeight="1" thickBot="1">
      <c r="A4" s="7" t="n">
        <v>1</v>
      </c>
      <c r="B4" s="7" t="n"/>
      <c r="C4" s="8" t="inlineStr">
        <is>
          <t>AMH</t>
        </is>
      </c>
      <c r="D4" s="8" t="inlineStr">
        <is>
          <t>ASH</t>
        </is>
      </c>
      <c r="E4" s="8" t="n"/>
      <c r="F4" s="8" t="n"/>
      <c r="G4" s="8" t="n"/>
      <c r="H4" s="8" t="n"/>
      <c r="I4" s="12" t="n">
        <v>48</v>
      </c>
      <c r="J4" s="9">
        <f>I4+6</f>
        <v/>
      </c>
      <c r="K4" s="9">
        <f>J4*1.04</f>
        <v/>
      </c>
      <c r="L4" s="9">
        <f>J4*0.13</f>
        <v/>
      </c>
      <c r="M4" s="9" t="n"/>
      <c r="N4" s="9" t="n"/>
    </row>
    <row r="5" ht="40" customHeight="1" thickBot="1">
      <c r="A5" s="7">
        <f>A4+1</f>
        <v/>
      </c>
      <c r="B5" s="7" t="n"/>
      <c r="C5" s="8" t="inlineStr">
        <is>
          <t>ARK</t>
        </is>
      </c>
      <c r="D5" s="8" t="inlineStr">
        <is>
          <t>ASH</t>
        </is>
      </c>
      <c r="E5" s="8" t="n"/>
      <c r="F5" s="8" t="n"/>
      <c r="G5" s="8" t="n"/>
      <c r="H5" s="8" t="n"/>
      <c r="I5" s="12" t="n">
        <v>192</v>
      </c>
      <c r="J5" s="9">
        <f>I5+6</f>
        <v/>
      </c>
      <c r="K5" s="9">
        <f>J5*1.04</f>
        <v/>
      </c>
      <c r="L5" s="9">
        <f>J5*0.13</f>
        <v/>
      </c>
      <c r="M5" s="9" t="n"/>
      <c r="N5" s="9" t="n"/>
    </row>
    <row r="6" ht="40" customHeight="1" thickBot="1">
      <c r="A6" s="7">
        <f>A5+1</f>
        <v/>
      </c>
      <c r="B6" s="7" t="n"/>
      <c r="C6" s="8" t="inlineStr">
        <is>
          <t>AUB</t>
        </is>
      </c>
      <c r="D6" s="8" t="inlineStr">
        <is>
          <t>ASH</t>
        </is>
      </c>
      <c r="E6" s="8" t="n"/>
      <c r="F6" s="8" t="n"/>
      <c r="G6" s="8" t="n"/>
      <c r="H6" s="8" t="n"/>
      <c r="I6" s="12" t="n">
        <v>48</v>
      </c>
      <c r="J6" s="9">
        <f>I6+6</f>
        <v/>
      </c>
      <c r="K6" s="9">
        <f>J6*1.04</f>
        <v/>
      </c>
      <c r="L6" s="9">
        <f>J6*0.13</f>
        <v/>
      </c>
      <c r="M6" s="9" t="n"/>
      <c r="N6" s="9" t="n"/>
    </row>
    <row r="7" ht="40" customHeight="1" thickBot="1">
      <c r="A7" s="7">
        <f>A6+1</f>
        <v/>
      </c>
      <c r="B7" s="7" t="n"/>
      <c r="C7" s="8" t="inlineStr">
        <is>
          <t>AZS</t>
        </is>
      </c>
      <c r="D7" s="8" t="inlineStr">
        <is>
          <t>ASH</t>
        </is>
      </c>
      <c r="E7" s="8" t="n"/>
      <c r="F7" s="8" t="n"/>
      <c r="G7" s="8" t="n"/>
      <c r="H7" s="8" t="n"/>
      <c r="I7" s="12" t="n">
        <v>336</v>
      </c>
      <c r="J7" s="9">
        <f>I7+6</f>
        <v/>
      </c>
      <c r="K7" s="9">
        <f>J7*1.04</f>
        <v/>
      </c>
      <c r="L7" s="9">
        <f>J7*0.13</f>
        <v/>
      </c>
      <c r="M7" s="9" t="n"/>
      <c r="N7" s="9" t="n"/>
    </row>
    <row r="8" ht="40" customHeight="1" thickBot="1">
      <c r="A8" s="7">
        <f>A7+1</f>
        <v/>
      </c>
      <c r="B8" s="7" t="n"/>
      <c r="C8" s="8" t="inlineStr">
        <is>
          <t>BAY</t>
        </is>
      </c>
      <c r="D8" s="8" t="inlineStr">
        <is>
          <t>ASH</t>
        </is>
      </c>
      <c r="E8" s="8" t="n"/>
      <c r="F8" s="8" t="n"/>
      <c r="G8" s="8" t="n"/>
      <c r="H8" s="8" t="n"/>
      <c r="I8" s="12" t="n">
        <v>60</v>
      </c>
      <c r="J8" s="9">
        <f>I8+6</f>
        <v/>
      </c>
      <c r="K8" s="9">
        <f>J8*1.04</f>
        <v/>
      </c>
      <c r="L8" s="9">
        <f>J8*0.13</f>
        <v/>
      </c>
      <c r="M8" s="9" t="n"/>
      <c r="N8" s="9" t="n"/>
    </row>
    <row r="9" ht="40" customHeight="1" thickBot="1">
      <c r="A9" s="7">
        <f>A8+1</f>
        <v/>
      </c>
      <c r="B9" s="7" t="n"/>
      <c r="C9" s="8" t="inlineStr">
        <is>
          <t>BOS</t>
        </is>
      </c>
      <c r="D9" s="8" t="inlineStr">
        <is>
          <t>ASH</t>
        </is>
      </c>
      <c r="E9" s="8" t="n"/>
      <c r="F9" s="8" t="n"/>
      <c r="G9" s="8" t="n"/>
      <c r="H9" s="8" t="n"/>
      <c r="I9" s="12" t="n">
        <v>144</v>
      </c>
      <c r="J9" s="9">
        <f>I9+6</f>
        <v/>
      </c>
      <c r="K9" s="9">
        <f>J9*1.04</f>
        <v/>
      </c>
      <c r="L9" s="9">
        <f>J9*0.13</f>
        <v/>
      </c>
      <c r="M9" s="9" t="n"/>
      <c r="N9" s="9" t="n"/>
      <c r="P9" s="1">
        <f>8692-2544</f>
        <v/>
      </c>
    </row>
    <row r="10" ht="40" customHeight="1" thickBot="1">
      <c r="A10" s="7">
        <f>A9+1</f>
        <v/>
      </c>
      <c r="B10" s="7" t="n"/>
      <c r="C10" s="8" t="inlineStr">
        <is>
          <t>BUF</t>
        </is>
      </c>
      <c r="D10" s="8" t="inlineStr">
        <is>
          <t>ASH</t>
        </is>
      </c>
      <c r="E10" s="8" t="n"/>
      <c r="F10" s="8" t="n"/>
      <c r="G10" s="8" t="n"/>
      <c r="H10" s="8" t="n"/>
      <c r="I10" s="12" t="n">
        <v>48</v>
      </c>
      <c r="J10" s="9">
        <f>I10+6</f>
        <v/>
      </c>
      <c r="K10" s="9">
        <f>J10*1.04</f>
        <v/>
      </c>
      <c r="L10" s="9">
        <f>J10*0.13</f>
        <v/>
      </c>
      <c r="M10" s="9" t="n"/>
      <c r="N10" s="9" t="n"/>
    </row>
    <row r="11" ht="40" customHeight="1" thickBot="1">
      <c r="A11" s="7">
        <f>A10+1</f>
        <v/>
      </c>
      <c r="B11" s="7" t="n"/>
      <c r="C11" s="8" t="inlineStr">
        <is>
          <t>BUT</t>
        </is>
      </c>
      <c r="D11" s="8" t="inlineStr">
        <is>
          <t>ASH</t>
        </is>
      </c>
      <c r="E11" s="8" t="n"/>
      <c r="F11" s="8" t="n"/>
      <c r="G11" s="8" t="n"/>
      <c r="H11" s="8" t="n"/>
      <c r="I11" s="12" t="n">
        <v>96</v>
      </c>
      <c r="J11" s="9">
        <f>I11+6</f>
        <v/>
      </c>
      <c r="K11" s="9">
        <f>J11*1.04</f>
        <v/>
      </c>
      <c r="L11" s="9">
        <f>J11*0.13</f>
        <v/>
      </c>
      <c r="M11" s="9" t="n"/>
      <c r="N11" s="9" t="n"/>
    </row>
    <row r="12" ht="40" customHeight="1" thickBot="1">
      <c r="A12" s="7">
        <f>A11+1</f>
        <v/>
      </c>
      <c r="B12" s="7" t="n"/>
      <c r="C12" s="8" t="inlineStr">
        <is>
          <t>CAU</t>
        </is>
      </c>
      <c r="D12" s="8" t="inlineStr">
        <is>
          <t>ASH</t>
        </is>
      </c>
      <c r="E12" s="8" t="n"/>
      <c r="F12" s="8" t="n"/>
      <c r="G12" s="8" t="n"/>
      <c r="H12" s="8" t="n"/>
      <c r="I12" s="12" t="n">
        <v>48</v>
      </c>
      <c r="J12" s="9">
        <f>I12+6</f>
        <v/>
      </c>
      <c r="K12" s="9">
        <f>J12*1.04</f>
        <v/>
      </c>
      <c r="L12" s="9">
        <f>J12*0.13</f>
        <v/>
      </c>
      <c r="M12" s="9" t="n"/>
      <c r="N12" s="9" t="n"/>
    </row>
    <row r="13" ht="40" customHeight="1" thickBot="1">
      <c r="A13" s="7">
        <f>A12+1</f>
        <v/>
      </c>
      <c r="B13" s="7" t="n"/>
      <c r="C13" s="8" t="inlineStr">
        <is>
          <t>CHP</t>
        </is>
      </c>
      <c r="D13" s="8" t="inlineStr">
        <is>
          <t>ASH</t>
        </is>
      </c>
      <c r="E13" s="8" t="n"/>
      <c r="F13" s="8" t="n"/>
      <c r="G13" s="8" t="n"/>
      <c r="H13" s="8" t="n"/>
      <c r="I13" s="12" t="n">
        <v>48</v>
      </c>
      <c r="J13" s="9">
        <f>I13+6</f>
        <v/>
      </c>
      <c r="K13" s="9">
        <f>J13*1.04</f>
        <v/>
      </c>
      <c r="L13" s="9">
        <f>J13*0.13</f>
        <v/>
      </c>
      <c r="M13" s="9" t="n"/>
      <c r="N13" s="9" t="n"/>
    </row>
    <row r="14" ht="40" customHeight="1" thickBot="1">
      <c r="A14" s="7">
        <f>A13+1</f>
        <v/>
      </c>
      <c r="B14" s="7" t="n"/>
      <c r="C14" s="8" t="inlineStr">
        <is>
          <t>CIN</t>
        </is>
      </c>
      <c r="D14" s="8" t="inlineStr">
        <is>
          <t>ASH</t>
        </is>
      </c>
      <c r="E14" s="8" t="n"/>
      <c r="F14" s="8" t="n"/>
      <c r="G14" s="8" t="n"/>
      <c r="H14" s="8" t="n"/>
      <c r="I14" s="12" t="n">
        <v>96</v>
      </c>
      <c r="J14" s="9">
        <f>I14+6</f>
        <v/>
      </c>
      <c r="K14" s="9">
        <f>J14*1.04</f>
        <v/>
      </c>
      <c r="L14" s="9">
        <f>J14*0.13</f>
        <v/>
      </c>
      <c r="M14" s="9" t="n"/>
      <c r="N14" s="9" t="n"/>
    </row>
    <row r="15" ht="40" customHeight="1" thickBot="1">
      <c r="A15" s="7">
        <f>A14+1</f>
        <v/>
      </c>
      <c r="B15" s="7" t="n"/>
      <c r="C15" s="8" t="inlineStr">
        <is>
          <t>CPS</t>
        </is>
      </c>
      <c r="D15" s="8" t="inlineStr">
        <is>
          <t>ASH</t>
        </is>
      </c>
      <c r="E15" s="8" t="n"/>
      <c r="F15" s="8" t="n"/>
      <c r="G15" s="8" t="n"/>
      <c r="H15" s="8" t="n"/>
      <c r="I15" s="12" t="n">
        <v>48</v>
      </c>
      <c r="J15" s="9">
        <f>I15+6</f>
        <v/>
      </c>
      <c r="K15" s="9">
        <f>J15*1.04</f>
        <v/>
      </c>
      <c r="L15" s="9">
        <f>J15*0.13</f>
        <v/>
      </c>
      <c r="M15" s="9" t="n"/>
      <c r="N15" s="9" t="n"/>
    </row>
    <row r="16" ht="40" customHeight="1" thickBot="1">
      <c r="A16" s="7">
        <f>A15+1</f>
        <v/>
      </c>
      <c r="B16" s="7" t="n"/>
      <c r="C16" s="8" t="inlineStr">
        <is>
          <t>CSF</t>
        </is>
      </c>
      <c r="D16" s="8" t="inlineStr">
        <is>
          <t>ASH</t>
        </is>
      </c>
      <c r="E16" s="8" t="n"/>
      <c r="F16" s="8" t="n"/>
      <c r="G16" s="8" t="n"/>
      <c r="H16" s="8" t="n"/>
      <c r="I16" s="12" t="n">
        <v>48</v>
      </c>
      <c r="J16" s="9">
        <f>I16+6</f>
        <v/>
      </c>
      <c r="K16" s="9">
        <f>J16*1.04</f>
        <v/>
      </c>
      <c r="L16" s="9">
        <f>J16*0.13</f>
        <v/>
      </c>
      <c r="M16" s="9" t="n"/>
      <c r="N16" s="9" t="n"/>
    </row>
    <row r="17" ht="40" customHeight="1" thickBot="1">
      <c r="A17" s="7">
        <f>A16+1</f>
        <v/>
      </c>
      <c r="B17" s="7" t="n"/>
      <c r="C17" s="8" t="inlineStr">
        <is>
          <t>CST</t>
        </is>
      </c>
      <c r="D17" s="8" t="inlineStr">
        <is>
          <t>ASH</t>
        </is>
      </c>
      <c r="E17" s="8" t="n"/>
      <c r="F17" s="8" t="n"/>
      <c r="G17" s="8" t="n"/>
      <c r="H17" s="8" t="n"/>
      <c r="I17" s="12" t="n">
        <v>48</v>
      </c>
      <c r="J17" s="9">
        <f>I17+6</f>
        <v/>
      </c>
      <c r="K17" s="9">
        <f>J17*1.04</f>
        <v/>
      </c>
      <c r="L17" s="9">
        <f>J17*0.13</f>
        <v/>
      </c>
      <c r="M17" s="9" t="n"/>
      <c r="N17" s="9" t="n"/>
    </row>
    <row r="18" ht="40" customHeight="1" thickBot="1">
      <c r="A18" s="7">
        <f>A17+1</f>
        <v/>
      </c>
      <c r="B18" s="7" t="n"/>
      <c r="C18" s="8" t="inlineStr">
        <is>
          <t>DRW</t>
        </is>
      </c>
      <c r="D18" s="8" t="inlineStr">
        <is>
          <t>ASH</t>
        </is>
      </c>
      <c r="E18" s="8" t="n"/>
      <c r="F18" s="8" t="n"/>
      <c r="G18" s="8" t="n"/>
      <c r="H18" s="8" t="n"/>
      <c r="I18" s="12" t="n">
        <v>48</v>
      </c>
      <c r="J18" s="9">
        <f>I18+6</f>
        <v/>
      </c>
      <c r="K18" s="9">
        <f>J18*1.04</f>
        <v/>
      </c>
      <c r="L18" s="9">
        <f>J18*0.13</f>
        <v/>
      </c>
      <c r="M18" s="9" t="n"/>
      <c r="N18" s="9" t="n"/>
    </row>
    <row r="19" ht="40" customHeight="1" thickBot="1">
      <c r="A19" s="7">
        <f>A18+1</f>
        <v/>
      </c>
      <c r="B19" s="7" t="n"/>
      <c r="C19" s="8" t="inlineStr">
        <is>
          <t>DUQ</t>
        </is>
      </c>
      <c r="D19" s="8" t="inlineStr">
        <is>
          <t>ASH</t>
        </is>
      </c>
      <c r="E19" s="8" t="n"/>
      <c r="F19" s="8" t="n"/>
      <c r="G19" s="8" t="n"/>
      <c r="H19" s="8" t="n"/>
      <c r="I19" s="12" t="n">
        <v>48</v>
      </c>
      <c r="J19" s="9">
        <f>I19+6</f>
        <v/>
      </c>
      <c r="K19" s="9">
        <f>J19*1.04</f>
        <v/>
      </c>
      <c r="L19" s="9">
        <f>J19*0.13</f>
        <v/>
      </c>
      <c r="M19" s="9" t="n"/>
      <c r="N19" s="9" t="n"/>
    </row>
    <row r="20" ht="40" customHeight="1" thickBot="1">
      <c r="A20" s="7">
        <f>A19+1</f>
        <v/>
      </c>
      <c r="B20" s="7" t="n"/>
      <c r="C20" s="8" t="inlineStr">
        <is>
          <t>EMB</t>
        </is>
      </c>
      <c r="D20" s="8" t="inlineStr">
        <is>
          <t>ASH</t>
        </is>
      </c>
      <c r="E20" s="8" t="n"/>
      <c r="F20" s="8" t="n"/>
      <c r="G20" s="8" t="n"/>
      <c r="H20" s="8" t="n"/>
      <c r="I20" s="12" t="n">
        <v>48</v>
      </c>
      <c r="J20" s="9">
        <f>I20+6</f>
        <v/>
      </c>
      <c r="K20" s="9">
        <f>J20*1.04</f>
        <v/>
      </c>
      <c r="L20" s="9">
        <f>J20*0.13</f>
        <v/>
      </c>
      <c r="M20" s="9" t="n"/>
      <c r="N20" s="9" t="n"/>
    </row>
    <row r="21" ht="40" customHeight="1" thickBot="1">
      <c r="A21" s="7">
        <f>A20+1</f>
        <v/>
      </c>
      <c r="B21" s="7" t="n"/>
      <c r="C21" s="8" t="inlineStr">
        <is>
          <t>FAU</t>
        </is>
      </c>
      <c r="D21" s="8" t="inlineStr">
        <is>
          <t>ASH</t>
        </is>
      </c>
      <c r="E21" s="8" t="n"/>
      <c r="F21" s="8" t="n"/>
      <c r="G21" s="8" t="n"/>
      <c r="H21" s="8" t="n"/>
      <c r="I21" s="12" t="n">
        <v>72</v>
      </c>
      <c r="J21" s="9">
        <f>I21+6</f>
        <v/>
      </c>
      <c r="K21" s="9">
        <f>J21*1.04</f>
        <v/>
      </c>
      <c r="L21" s="9">
        <f>J21*0.13</f>
        <v/>
      </c>
      <c r="M21" s="9" t="n"/>
      <c r="N21" s="9" t="n"/>
    </row>
    <row r="22" ht="40" customHeight="1" thickBot="1">
      <c r="A22" s="7">
        <f>A21+1</f>
        <v/>
      </c>
      <c r="B22" s="7" t="n"/>
      <c r="C22" s="8" t="inlineStr">
        <is>
          <t>FIN</t>
        </is>
      </c>
      <c r="D22" s="8" t="inlineStr">
        <is>
          <t>ASH</t>
        </is>
      </c>
      <c r="E22" s="8" t="n"/>
      <c r="F22" s="8" t="n"/>
      <c r="G22" s="8" t="n"/>
      <c r="H22" s="8" t="n"/>
      <c r="I22" s="12" t="n">
        <v>48</v>
      </c>
      <c r="J22" s="9">
        <f>I22+6</f>
        <v/>
      </c>
      <c r="K22" s="9">
        <f>J22*1.04</f>
        <v/>
      </c>
      <c r="L22" s="9">
        <f>J22*0.13</f>
        <v/>
      </c>
      <c r="M22" s="9" t="n"/>
      <c r="N22" s="9" t="n"/>
    </row>
    <row r="23" ht="40" customHeight="1" thickBot="1">
      <c r="A23" s="7">
        <f>A22+1</f>
        <v/>
      </c>
      <c r="B23" s="7" t="n"/>
      <c r="C23" s="8" t="inlineStr">
        <is>
          <t>GSU</t>
        </is>
      </c>
      <c r="D23" s="8" t="inlineStr">
        <is>
          <t>ASH</t>
        </is>
      </c>
      <c r="E23" s="8" t="n"/>
      <c r="F23" s="8" t="n"/>
      <c r="G23" s="8" t="n"/>
      <c r="H23" s="8" t="n"/>
      <c r="I23" s="12" t="n">
        <v>48</v>
      </c>
      <c r="J23" s="9">
        <f>I23+6</f>
        <v/>
      </c>
      <c r="K23" s="9">
        <f>J23*1.04</f>
        <v/>
      </c>
      <c r="L23" s="9">
        <f>J23*0.13</f>
        <v/>
      </c>
      <c r="M23" s="9" t="n"/>
      <c r="N23" s="9" t="n"/>
    </row>
    <row r="24" ht="40" customHeight="1" thickBot="1">
      <c r="A24" s="7">
        <f>A23+1</f>
        <v/>
      </c>
      <c r="B24" s="7" t="n"/>
      <c r="C24" s="8" t="inlineStr">
        <is>
          <t>HAM</t>
        </is>
      </c>
      <c r="D24" s="8" t="inlineStr">
        <is>
          <t>ASH</t>
        </is>
      </c>
      <c r="E24" s="8" t="n"/>
      <c r="F24" s="8" t="n"/>
      <c r="G24" s="8" t="n"/>
      <c r="H24" s="8" t="n"/>
      <c r="I24" s="12" t="n">
        <v>48</v>
      </c>
      <c r="J24" s="9">
        <f>I24+6</f>
        <v/>
      </c>
      <c r="K24" s="9">
        <f>J24*1.04</f>
        <v/>
      </c>
      <c r="L24" s="9">
        <f>J24*0.13</f>
        <v/>
      </c>
      <c r="M24" s="9" t="n"/>
      <c r="N24" s="9" t="n"/>
    </row>
    <row r="25" ht="40" customHeight="1" thickBot="1">
      <c r="A25" s="7">
        <f>A24+1</f>
        <v/>
      </c>
      <c r="B25" s="7" t="n"/>
      <c r="C25" s="8" t="inlineStr">
        <is>
          <t>HOU</t>
        </is>
      </c>
      <c r="D25" s="8" t="inlineStr">
        <is>
          <t>ASH</t>
        </is>
      </c>
      <c r="E25" s="8" t="n"/>
      <c r="F25" s="8" t="n"/>
      <c r="G25" s="8" t="n"/>
      <c r="H25" s="8" t="n"/>
      <c r="I25" s="12" t="n">
        <v>60</v>
      </c>
      <c r="J25" s="9">
        <f>I25+6</f>
        <v/>
      </c>
      <c r="K25" s="9">
        <f>J25*1.04</f>
        <v/>
      </c>
      <c r="L25" s="9">
        <f>J25*0.13</f>
        <v/>
      </c>
      <c r="M25" s="9" t="n"/>
      <c r="N25" s="9" t="n"/>
    </row>
    <row r="26" ht="40" customHeight="1" thickBot="1">
      <c r="A26" s="7">
        <f>A25+1</f>
        <v/>
      </c>
      <c r="B26" s="7" t="n"/>
      <c r="C26" s="8" t="inlineStr">
        <is>
          <t>HOW</t>
        </is>
      </c>
      <c r="D26" s="8" t="inlineStr">
        <is>
          <t>ASH</t>
        </is>
      </c>
      <c r="E26" s="8" t="n"/>
      <c r="F26" s="8" t="n"/>
      <c r="G26" s="8" t="n"/>
      <c r="H26" s="8" t="n"/>
      <c r="I26" s="12" t="n">
        <v>84</v>
      </c>
      <c r="J26" s="9">
        <f>I26+6</f>
        <v/>
      </c>
      <c r="K26" s="9">
        <f>J26*1.04</f>
        <v/>
      </c>
      <c r="L26" s="9">
        <f>J26*0.13</f>
        <v/>
      </c>
      <c r="M26" s="9" t="n"/>
      <c r="N26" s="9" t="n"/>
    </row>
    <row r="27" ht="40" customHeight="1" thickBot="1">
      <c r="A27" s="7">
        <f>A26+1</f>
        <v/>
      </c>
      <c r="B27" s="7" t="n"/>
      <c r="C27" s="8" t="inlineStr">
        <is>
          <t>HTF</t>
        </is>
      </c>
      <c r="D27" s="8" t="inlineStr">
        <is>
          <t>ASH</t>
        </is>
      </c>
      <c r="E27" s="8" t="n"/>
      <c r="F27" s="8" t="n"/>
      <c r="G27" s="8" t="n"/>
      <c r="H27" s="8" t="n"/>
      <c r="I27" s="12" t="n">
        <v>48</v>
      </c>
      <c r="J27" s="9">
        <f>I27+6</f>
        <v/>
      </c>
      <c r="K27" s="9">
        <f>J27*1.04</f>
        <v/>
      </c>
      <c r="L27" s="9">
        <f>J27*0.13</f>
        <v/>
      </c>
      <c r="M27" s="9" t="n"/>
      <c r="N27" s="9" t="n"/>
    </row>
    <row r="28" ht="40" customHeight="1" thickBot="1">
      <c r="A28" s="7">
        <f>A27+1</f>
        <v/>
      </c>
      <c r="B28" s="7" t="n"/>
      <c r="C28" s="8" t="inlineStr">
        <is>
          <t>ILS</t>
        </is>
      </c>
      <c r="D28" s="8" t="inlineStr">
        <is>
          <t>ASH</t>
        </is>
      </c>
      <c r="E28" s="8" t="n"/>
      <c r="F28" s="8" t="n"/>
      <c r="G28" s="8" t="n"/>
      <c r="H28" s="8" t="n"/>
      <c r="I28" s="12" t="n">
        <v>96</v>
      </c>
      <c r="J28" s="9">
        <f>I28+6</f>
        <v/>
      </c>
      <c r="K28" s="9">
        <f>J28*1.04</f>
        <v/>
      </c>
      <c r="L28" s="9">
        <f>J28*0.13</f>
        <v/>
      </c>
      <c r="M28" s="9" t="n"/>
      <c r="N28" s="9" t="n"/>
    </row>
    <row r="29" ht="40" customHeight="1" thickBot="1">
      <c r="A29" s="7">
        <f>A28+1</f>
        <v/>
      </c>
      <c r="B29" s="7" t="n"/>
      <c r="C29" s="8" t="inlineStr">
        <is>
          <t>ILS</t>
        </is>
      </c>
      <c r="D29" s="8" t="inlineStr">
        <is>
          <t>ASH</t>
        </is>
      </c>
      <c r="E29" s="8" t="n"/>
      <c r="F29" s="8" t="n"/>
      <c r="G29" s="8" t="n"/>
      <c r="H29" s="8" t="n"/>
      <c r="I29" s="12" t="n">
        <v>96</v>
      </c>
      <c r="J29" s="9">
        <f>I29+6</f>
        <v/>
      </c>
      <c r="K29" s="9">
        <f>J29*1.04</f>
        <v/>
      </c>
      <c r="L29" s="9">
        <f>J29*0.13</f>
        <v/>
      </c>
      <c r="M29" s="9" t="n"/>
      <c r="N29" s="9" t="n"/>
    </row>
    <row r="30" ht="40" customHeight="1" thickBot="1">
      <c r="A30" s="7">
        <f>A29+1</f>
        <v/>
      </c>
      <c r="B30" s="7" t="n"/>
      <c r="C30" s="8" t="inlineStr">
        <is>
          <t>IND</t>
        </is>
      </c>
      <c r="D30" s="8" t="inlineStr">
        <is>
          <t>ASH</t>
        </is>
      </c>
      <c r="E30" s="8" t="n"/>
      <c r="F30" s="8" t="n"/>
      <c r="G30" s="8" t="n"/>
      <c r="H30" s="8" t="n"/>
      <c r="I30" s="12" t="n">
        <v>96</v>
      </c>
      <c r="J30" s="9">
        <f>I30+6</f>
        <v/>
      </c>
      <c r="K30" s="9">
        <f>J30*1.04</f>
        <v/>
      </c>
      <c r="L30" s="9">
        <f>J30*0.13</f>
        <v/>
      </c>
      <c r="M30" s="9" t="n"/>
      <c r="N30" s="9" t="n"/>
    </row>
    <row r="31" ht="40" customHeight="1" thickBot="1">
      <c r="A31" s="7">
        <f>A30+1</f>
        <v/>
      </c>
      <c r="B31" s="7" t="n"/>
      <c r="C31" s="8" t="inlineStr">
        <is>
          <t>ION</t>
        </is>
      </c>
      <c r="D31" s="8" t="inlineStr">
        <is>
          <t>ASH</t>
        </is>
      </c>
      <c r="E31" s="8" t="n"/>
      <c r="F31" s="8" t="n"/>
      <c r="G31" s="8" t="n"/>
      <c r="H31" s="8" t="n"/>
      <c r="I31" s="12" t="n">
        <v>48</v>
      </c>
      <c r="J31" s="9">
        <f>I31+6</f>
        <v/>
      </c>
      <c r="K31" s="9">
        <f>J31*1.04</f>
        <v/>
      </c>
      <c r="L31" s="9">
        <f>J31*0.13</f>
        <v/>
      </c>
      <c r="M31" s="9" t="n"/>
      <c r="N31" s="9" t="n"/>
    </row>
    <row r="32" ht="40" customHeight="1" thickBot="1">
      <c r="A32" s="7">
        <f>A31+1</f>
        <v/>
      </c>
      <c r="B32" s="7" t="n"/>
      <c r="C32" s="8" t="inlineStr">
        <is>
          <t>JAC</t>
        </is>
      </c>
      <c r="D32" s="8" t="inlineStr">
        <is>
          <t>ASH</t>
        </is>
      </c>
      <c r="E32" s="8" t="n"/>
      <c r="F32" s="8" t="n"/>
      <c r="G32" s="8" t="n"/>
      <c r="H32" s="8" t="n"/>
      <c r="I32" s="12" t="n">
        <v>48</v>
      </c>
      <c r="J32" s="9">
        <f>I32+6</f>
        <v/>
      </c>
      <c r="K32" s="9">
        <f>J32*1.04</f>
        <v/>
      </c>
      <c r="L32" s="9">
        <f>J32*0.13</f>
        <v/>
      </c>
      <c r="M32" s="9" t="n"/>
      <c r="N32" s="9" t="n"/>
    </row>
    <row r="33" ht="40" customHeight="1" thickBot="1">
      <c r="A33" s="7">
        <f>A32+1</f>
        <v/>
      </c>
      <c r="B33" s="7" t="n"/>
      <c r="C33" s="8" t="inlineStr">
        <is>
          <t>JHU</t>
        </is>
      </c>
      <c r="D33" s="8" t="inlineStr">
        <is>
          <t>ASH</t>
        </is>
      </c>
      <c r="E33" s="8" t="n"/>
      <c r="F33" s="8" t="n"/>
      <c r="G33" s="8" t="n"/>
      <c r="H33" s="8" t="n"/>
      <c r="I33" s="12" t="n">
        <v>72</v>
      </c>
      <c r="J33" s="9">
        <f>I33+6</f>
        <v/>
      </c>
      <c r="K33" s="9">
        <f>J33*1.04</f>
        <v/>
      </c>
      <c r="L33" s="9">
        <f>J33*0.13</f>
        <v/>
      </c>
      <c r="M33" s="9" t="n"/>
      <c r="N33" s="9" t="n"/>
    </row>
    <row r="34" ht="40" customHeight="1" thickBot="1">
      <c r="A34" s="7">
        <f>A33+1</f>
        <v/>
      </c>
      <c r="B34" s="7" t="n"/>
      <c r="C34" s="8" t="inlineStr">
        <is>
          <t>JMU</t>
        </is>
      </c>
      <c r="D34" s="8" t="inlineStr">
        <is>
          <t>ASH</t>
        </is>
      </c>
      <c r="E34" s="8" t="n"/>
      <c r="F34" s="8" t="n"/>
      <c r="G34" s="8" t="n"/>
      <c r="H34" s="8" t="n"/>
      <c r="I34" s="12" t="n">
        <v>144</v>
      </c>
      <c r="J34" s="9">
        <f>I34+6</f>
        <v/>
      </c>
      <c r="K34" s="9">
        <f>J34*1.04</f>
        <v/>
      </c>
      <c r="L34" s="9">
        <f>J34*0.13</f>
        <v/>
      </c>
      <c r="M34" s="9" t="n"/>
      <c r="N34" s="9" t="n"/>
    </row>
    <row r="35" ht="40" customHeight="1" thickBot="1">
      <c r="A35" s="7">
        <f>A34+1</f>
        <v/>
      </c>
      <c r="B35" s="7" t="n"/>
      <c r="C35" s="8" t="inlineStr">
        <is>
          <t>LUC</t>
        </is>
      </c>
      <c r="D35" s="8" t="inlineStr">
        <is>
          <t>ASH</t>
        </is>
      </c>
      <c r="E35" s="8" t="n"/>
      <c r="F35" s="8" t="n"/>
      <c r="G35" s="8" t="n"/>
      <c r="H35" s="8" t="n"/>
      <c r="I35" s="12" t="n">
        <v>48</v>
      </c>
      <c r="J35" s="9">
        <f>I35+6</f>
        <v/>
      </c>
      <c r="K35" s="9">
        <f>J35*1.04</f>
        <v/>
      </c>
      <c r="L35" s="9">
        <f>J35*0.13</f>
        <v/>
      </c>
      <c r="M35" s="9" t="n"/>
      <c r="N35" s="9" t="n"/>
    </row>
    <row r="36" ht="40" customHeight="1" thickBot="1">
      <c r="A36" s="7">
        <f>A35+1</f>
        <v/>
      </c>
      <c r="B36" s="7" t="n"/>
      <c r="C36" s="8" t="inlineStr">
        <is>
          <t>MIA</t>
        </is>
      </c>
      <c r="D36" s="8" t="inlineStr">
        <is>
          <t>ASH</t>
        </is>
      </c>
      <c r="E36" s="8" t="n"/>
      <c r="F36" s="8" t="n"/>
      <c r="G36" s="8" t="n"/>
      <c r="H36" s="8" t="n"/>
      <c r="I36" s="12" t="n">
        <v>144</v>
      </c>
      <c r="J36" s="9">
        <f>I36+6</f>
        <v/>
      </c>
      <c r="K36" s="9">
        <f>J36*1.04</f>
        <v/>
      </c>
      <c r="L36" s="9">
        <f>J36*0.13</f>
        <v/>
      </c>
      <c r="M36" s="9" t="n"/>
      <c r="N36" s="9" t="n"/>
    </row>
    <row r="37" ht="40" customHeight="1" thickBot="1">
      <c r="A37" s="7">
        <f>A36+1</f>
        <v/>
      </c>
      <c r="B37" s="7" t="n"/>
      <c r="C37" s="8" t="inlineStr">
        <is>
          <t>MIS</t>
        </is>
      </c>
      <c r="D37" s="8" t="inlineStr">
        <is>
          <t>ASH</t>
        </is>
      </c>
      <c r="E37" s="8" t="n"/>
      <c r="F37" s="8" t="n"/>
      <c r="G37" s="8" t="n"/>
      <c r="H37" s="8" t="n"/>
      <c r="I37" s="12" t="n">
        <v>120</v>
      </c>
      <c r="J37" s="9">
        <f>I37+6</f>
        <v/>
      </c>
      <c r="K37" s="9">
        <f>J37*1.04</f>
        <v/>
      </c>
      <c r="L37" s="9">
        <f>J37*0.13</f>
        <v/>
      </c>
      <c r="M37" s="9" t="n"/>
      <c r="N37" s="9" t="n"/>
    </row>
    <row r="38" ht="40" customHeight="1" thickBot="1">
      <c r="A38" s="7">
        <f>A37+1</f>
        <v/>
      </c>
      <c r="B38" s="7" t="n"/>
      <c r="C38" s="8" t="inlineStr">
        <is>
          <t>MTC</t>
        </is>
      </c>
      <c r="D38" s="8" t="inlineStr">
        <is>
          <t>ASH</t>
        </is>
      </c>
      <c r="E38" s="8" t="n"/>
      <c r="F38" s="8" t="n"/>
      <c r="G38" s="8" t="n"/>
      <c r="H38" s="8" t="n"/>
      <c r="I38" s="12" t="n">
        <v>48</v>
      </c>
      <c r="J38" s="9">
        <f>I38+6</f>
        <v/>
      </c>
      <c r="K38" s="9">
        <f>J38*1.04</f>
        <v/>
      </c>
      <c r="L38" s="9">
        <f>J38*0.13</f>
        <v/>
      </c>
      <c r="M38" s="9" t="n"/>
      <c r="N38" s="9" t="n"/>
    </row>
    <row r="39" ht="40" customHeight="1" thickBot="1">
      <c r="A39" s="7">
        <f>A38+1</f>
        <v/>
      </c>
      <c r="B39" s="7" t="n"/>
      <c r="C39" s="8" t="inlineStr">
        <is>
          <t>NAU</t>
        </is>
      </c>
      <c r="D39" s="8" t="inlineStr">
        <is>
          <t>ASH</t>
        </is>
      </c>
      <c r="E39" s="8" t="n"/>
      <c r="F39" s="8" t="n"/>
      <c r="G39" s="8" t="n"/>
      <c r="H39" s="8" t="n"/>
      <c r="I39" s="12" t="n">
        <v>60</v>
      </c>
      <c r="J39" s="9">
        <f>I39+6</f>
        <v/>
      </c>
      <c r="K39" s="9">
        <f>J39*1.04</f>
        <v/>
      </c>
      <c r="L39" s="9">
        <f>J39*0.13</f>
        <v/>
      </c>
      <c r="M39" s="9" t="n"/>
      <c r="N39" s="9" t="n"/>
    </row>
    <row r="40" ht="40" customHeight="1" thickBot="1">
      <c r="A40" s="7">
        <f>A39+1</f>
        <v/>
      </c>
      <c r="B40" s="7" t="n"/>
      <c r="C40" s="8" t="inlineStr">
        <is>
          <t>NCC</t>
        </is>
      </c>
      <c r="D40" s="8" t="inlineStr">
        <is>
          <t>ASH</t>
        </is>
      </c>
      <c r="E40" s="8" t="n"/>
      <c r="F40" s="8" t="n"/>
      <c r="G40" s="8" t="n"/>
      <c r="H40" s="8" t="n"/>
      <c r="I40" s="12" t="n">
        <v>48</v>
      </c>
      <c r="J40" s="9">
        <f>I40+6</f>
        <v/>
      </c>
      <c r="K40" s="9">
        <f>J40*1.04</f>
        <v/>
      </c>
      <c r="L40" s="9">
        <f>J40*0.13</f>
        <v/>
      </c>
      <c r="M40" s="9" t="n"/>
      <c r="N40" s="9" t="n"/>
    </row>
    <row r="41" ht="40" customHeight="1" thickBot="1">
      <c r="A41" s="7">
        <f>A40+1</f>
        <v/>
      </c>
      <c r="B41" s="7" t="n"/>
      <c r="C41" s="8" t="inlineStr">
        <is>
          <t>NEB</t>
        </is>
      </c>
      <c r="D41" s="8" t="inlineStr">
        <is>
          <t>ASH</t>
        </is>
      </c>
      <c r="E41" s="8" t="n"/>
      <c r="F41" s="8" t="n"/>
      <c r="G41" s="8" t="n"/>
      <c r="H41" s="8" t="n"/>
      <c r="I41" s="12" t="n">
        <v>48</v>
      </c>
      <c r="J41" s="9">
        <f>I41+6</f>
        <v/>
      </c>
      <c r="K41" s="9">
        <f>J41*1.04</f>
        <v/>
      </c>
      <c r="L41" s="9">
        <f>J41*0.13</f>
        <v/>
      </c>
      <c r="M41" s="9" t="n"/>
      <c r="N41" s="9" t="n"/>
    </row>
    <row r="42" ht="40" customHeight="1" thickBot="1">
      <c r="A42" s="7">
        <f>A41+1</f>
        <v/>
      </c>
      <c r="B42" s="7" t="n"/>
      <c r="C42" s="8" t="inlineStr">
        <is>
          <t>NEB</t>
        </is>
      </c>
      <c r="D42" s="8" t="inlineStr">
        <is>
          <t>ASH</t>
        </is>
      </c>
      <c r="E42" s="8" t="n"/>
      <c r="F42" s="8" t="n"/>
      <c r="G42" s="8" t="n"/>
      <c r="H42" s="8" t="n"/>
      <c r="I42" s="12" t="n">
        <v>48</v>
      </c>
      <c r="J42" s="9">
        <f>I42+6</f>
        <v/>
      </c>
      <c r="K42" s="9">
        <f>J42*1.04</f>
        <v/>
      </c>
      <c r="L42" s="9">
        <f>J42*0.13</f>
        <v/>
      </c>
      <c r="M42" s="9" t="n"/>
      <c r="N42" s="9" t="n"/>
    </row>
    <row r="43" ht="40" customHeight="1" thickBot="1">
      <c r="A43" s="7">
        <f>A42+1</f>
        <v/>
      </c>
      <c r="B43" s="7" t="n"/>
      <c r="C43" s="8" t="inlineStr">
        <is>
          <t>NEU</t>
        </is>
      </c>
      <c r="D43" s="8" t="inlineStr">
        <is>
          <t>ASH</t>
        </is>
      </c>
      <c r="E43" s="8" t="n"/>
      <c r="F43" s="8" t="n"/>
      <c r="G43" s="8" t="n"/>
      <c r="H43" s="8" t="n"/>
      <c r="I43" s="12" t="n">
        <v>96</v>
      </c>
      <c r="J43" s="9">
        <f>I43+6</f>
        <v/>
      </c>
      <c r="K43" s="9">
        <f>J43*1.04</f>
        <v/>
      </c>
      <c r="L43" s="9">
        <f>J43*0.13</f>
        <v/>
      </c>
      <c r="M43" s="9" t="n"/>
      <c r="N43" s="9" t="n"/>
    </row>
    <row r="44" ht="40" customHeight="1" thickBot="1">
      <c r="A44" s="7">
        <f>A43+1</f>
        <v/>
      </c>
      <c r="B44" s="7" t="n"/>
      <c r="C44" s="8" t="inlineStr">
        <is>
          <t>NHV</t>
        </is>
      </c>
      <c r="D44" s="8" t="inlineStr">
        <is>
          <t>ASH</t>
        </is>
      </c>
      <c r="E44" s="8" t="n"/>
      <c r="F44" s="8" t="n"/>
      <c r="G44" s="8" t="n"/>
      <c r="H44" s="8" t="n"/>
      <c r="I44" s="12" t="n">
        <v>48</v>
      </c>
      <c r="J44" s="9">
        <f>I44+6</f>
        <v/>
      </c>
      <c r="K44" s="9">
        <f>J44*1.04</f>
        <v/>
      </c>
      <c r="L44" s="9">
        <f>J44*0.13</f>
        <v/>
      </c>
      <c r="M44" s="9" t="n"/>
      <c r="N44" s="9" t="n"/>
    </row>
    <row r="45" ht="40" customHeight="1" thickBot="1">
      <c r="A45" s="7">
        <f>A44+1</f>
        <v/>
      </c>
      <c r="B45" s="7" t="n"/>
      <c r="C45" s="8" t="inlineStr">
        <is>
          <t>NMS</t>
        </is>
      </c>
      <c r="D45" s="8" t="inlineStr">
        <is>
          <t>ASH</t>
        </is>
      </c>
      <c r="E45" s="8" t="n"/>
      <c r="F45" s="8" t="n"/>
      <c r="G45" s="8" t="n"/>
      <c r="H45" s="8" t="n"/>
      <c r="I45" s="12" t="n">
        <v>48</v>
      </c>
      <c r="J45" s="9">
        <f>I45+6</f>
        <v/>
      </c>
      <c r="K45" s="9">
        <f>J45*1.04</f>
        <v/>
      </c>
      <c r="L45" s="9">
        <f>J45*0.13</f>
        <v/>
      </c>
      <c r="M45" s="9" t="n"/>
      <c r="N45" s="9" t="n"/>
    </row>
    <row r="46" ht="40" customHeight="1" thickBot="1">
      <c r="A46" s="7">
        <f>A45+1</f>
        <v/>
      </c>
      <c r="B46" s="7" t="n"/>
      <c r="C46" s="8" t="inlineStr">
        <is>
          <t>NMX</t>
        </is>
      </c>
      <c r="D46" s="8" t="inlineStr">
        <is>
          <t>ASH</t>
        </is>
      </c>
      <c r="E46" s="8" t="n"/>
      <c r="F46" s="8" t="n"/>
      <c r="G46" s="8" t="n"/>
      <c r="H46" s="8" t="n"/>
      <c r="I46" s="12" t="n">
        <v>48</v>
      </c>
      <c r="J46" s="9">
        <f>I46+6</f>
        <v/>
      </c>
      <c r="K46" s="9">
        <f>J46*1.04</f>
        <v/>
      </c>
      <c r="L46" s="9">
        <f>J46*0.13</f>
        <v/>
      </c>
      <c r="M46" s="9" t="n"/>
      <c r="N46" s="9" t="n"/>
    </row>
    <row r="47" ht="40" customHeight="1" thickBot="1">
      <c r="A47" s="7">
        <f>A46+1</f>
        <v/>
      </c>
      <c r="B47" s="7" t="n"/>
      <c r="C47" s="8" t="inlineStr">
        <is>
          <t>NOC</t>
        </is>
      </c>
      <c r="D47" s="8" t="inlineStr">
        <is>
          <t>ASH</t>
        </is>
      </c>
      <c r="E47" s="8" t="n"/>
      <c r="F47" s="8" t="n"/>
      <c r="G47" s="8" t="n"/>
      <c r="H47" s="8" t="n"/>
      <c r="I47" s="12" t="n">
        <v>48</v>
      </c>
      <c r="J47" s="9">
        <f>I47+6</f>
        <v/>
      </c>
      <c r="K47" s="9">
        <f>J47*1.04</f>
        <v/>
      </c>
      <c r="L47" s="9">
        <f>J47*0.13</f>
        <v/>
      </c>
      <c r="M47" s="9" t="n"/>
      <c r="N47" s="9" t="n"/>
    </row>
    <row r="48" ht="40" customHeight="1" thickBot="1">
      <c r="A48" s="7">
        <f>A47+1</f>
        <v/>
      </c>
      <c r="B48" s="7" t="n"/>
      <c r="C48" s="8" t="inlineStr">
        <is>
          <t>NYU</t>
        </is>
      </c>
      <c r="D48" s="8" t="inlineStr">
        <is>
          <t>ASH</t>
        </is>
      </c>
      <c r="E48" s="8" t="n"/>
      <c r="F48" s="8" t="n"/>
      <c r="G48" s="8" t="n"/>
      <c r="H48" s="8" t="n"/>
      <c r="I48" s="12" t="n">
        <v>144</v>
      </c>
      <c r="J48" s="9">
        <f>I48+6</f>
        <v/>
      </c>
      <c r="K48" s="9">
        <f>J48*1.04</f>
        <v/>
      </c>
      <c r="L48" s="9">
        <f>J48*0.13</f>
        <v/>
      </c>
      <c r="M48" s="9" t="n"/>
      <c r="N48" s="9" t="n"/>
    </row>
    <row r="49" ht="40" customHeight="1" thickBot="1">
      <c r="A49" s="7">
        <f>A48+1</f>
        <v/>
      </c>
      <c r="B49" s="7" t="n"/>
      <c r="C49" s="8" t="inlineStr">
        <is>
          <t>PPD</t>
        </is>
      </c>
      <c r="D49" s="8" t="inlineStr">
        <is>
          <t>ASH</t>
        </is>
      </c>
      <c r="E49" s="8" t="n"/>
      <c r="F49" s="8" t="n"/>
      <c r="G49" s="8" t="n"/>
      <c r="H49" s="8" t="n"/>
      <c r="I49" s="12" t="n">
        <v>48</v>
      </c>
      <c r="J49" s="9">
        <f>I49+6</f>
        <v/>
      </c>
      <c r="K49" s="9">
        <f>J49*1.04</f>
        <v/>
      </c>
      <c r="L49" s="9">
        <f>J49*0.13</f>
        <v/>
      </c>
      <c r="M49" s="9" t="n"/>
      <c r="N49" s="9" t="n"/>
    </row>
    <row r="50" ht="40" customHeight="1" thickBot="1">
      <c r="A50" s="7">
        <f>A49+1</f>
        <v/>
      </c>
      <c r="B50" s="7" t="n"/>
      <c r="C50" s="8" t="inlineStr">
        <is>
          <t>PSU</t>
        </is>
      </c>
      <c r="D50" s="8" t="inlineStr">
        <is>
          <t>ASH</t>
        </is>
      </c>
      <c r="E50" s="8" t="n"/>
      <c r="F50" s="8" t="n"/>
      <c r="G50" s="8" t="n"/>
      <c r="H50" s="8" t="n"/>
      <c r="I50" s="12" t="n">
        <v>96</v>
      </c>
      <c r="J50" s="9">
        <f>I50+6</f>
        <v/>
      </c>
      <c r="K50" s="9">
        <f>J50*1.04</f>
        <v/>
      </c>
      <c r="L50" s="9">
        <f>J50*0.13</f>
        <v/>
      </c>
      <c r="M50" s="9" t="n"/>
      <c r="N50" s="9" t="n"/>
    </row>
    <row r="51" ht="40" customHeight="1" thickBot="1">
      <c r="A51" s="7">
        <f>A50+1</f>
        <v/>
      </c>
      <c r="B51" s="7" t="n"/>
      <c r="C51" s="8" t="inlineStr">
        <is>
          <t>PUR</t>
        </is>
      </c>
      <c r="D51" s="8" t="inlineStr">
        <is>
          <t>ASH</t>
        </is>
      </c>
      <c r="E51" s="8" t="n"/>
      <c r="F51" s="8" t="n"/>
      <c r="G51" s="8" t="n"/>
      <c r="H51" s="8" t="n"/>
      <c r="I51" s="12" t="n">
        <v>312</v>
      </c>
      <c r="J51" s="9">
        <f>I51+6</f>
        <v/>
      </c>
      <c r="K51" s="9">
        <f>J51*1.04</f>
        <v/>
      </c>
      <c r="L51" s="9">
        <f>J51*0.13</f>
        <v/>
      </c>
      <c r="M51" s="9" t="n"/>
      <c r="N51" s="9" t="n"/>
    </row>
    <row r="52" ht="40" customHeight="1" thickBot="1">
      <c r="A52" s="7">
        <f>A51+1</f>
        <v/>
      </c>
      <c r="B52" s="7" t="n"/>
      <c r="C52" s="8" t="inlineStr">
        <is>
          <t>PVA</t>
        </is>
      </c>
      <c r="D52" s="8" t="inlineStr">
        <is>
          <t>ASH</t>
        </is>
      </c>
      <c r="E52" s="8" t="n"/>
      <c r="F52" s="8" t="n"/>
      <c r="G52" s="8" t="n"/>
      <c r="H52" s="8" t="n"/>
      <c r="I52" s="12" t="n">
        <v>48</v>
      </c>
      <c r="J52" s="9">
        <f>I52+6</f>
        <v/>
      </c>
      <c r="K52" s="9">
        <f>J52*1.04</f>
        <v/>
      </c>
      <c r="L52" s="9">
        <f>J52*0.13</f>
        <v/>
      </c>
      <c r="M52" s="9" t="n"/>
      <c r="N52" s="9" t="n"/>
    </row>
    <row r="53" ht="40" customHeight="1" thickBot="1">
      <c r="A53" s="7">
        <f>A52+1</f>
        <v/>
      </c>
      <c r="B53" s="7" t="n"/>
      <c r="C53" s="8" t="inlineStr">
        <is>
          <t>RTG</t>
        </is>
      </c>
      <c r="D53" s="8" t="inlineStr">
        <is>
          <t>ASH</t>
        </is>
      </c>
      <c r="E53" s="8" t="n"/>
      <c r="F53" s="8" t="n"/>
      <c r="G53" s="8" t="n"/>
      <c r="H53" s="8" t="n"/>
      <c r="I53" s="12" t="n">
        <v>96</v>
      </c>
      <c r="J53" s="9">
        <f>I53+6</f>
        <v/>
      </c>
      <c r="K53" s="9">
        <f>J53*1.04</f>
        <v/>
      </c>
      <c r="L53" s="9">
        <f>J53*0.13</f>
        <v/>
      </c>
      <c r="M53" s="9" t="n"/>
      <c r="N53" s="9" t="n"/>
    </row>
    <row r="54" ht="40" customHeight="1" thickBot="1">
      <c r="A54" s="7">
        <f>A53+1</f>
        <v/>
      </c>
      <c r="B54" s="7" t="n"/>
      <c r="C54" s="8" t="inlineStr">
        <is>
          <t>SCA</t>
        </is>
      </c>
      <c r="D54" s="8" t="inlineStr">
        <is>
          <t>ASH</t>
        </is>
      </c>
      <c r="E54" s="8" t="n"/>
      <c r="F54" s="8" t="n"/>
      <c r="G54" s="8" t="n"/>
      <c r="H54" s="8" t="n"/>
      <c r="I54" s="12" t="n">
        <v>60</v>
      </c>
      <c r="J54" s="9">
        <f>I54+6</f>
        <v/>
      </c>
      <c r="K54" s="9">
        <f>J54*1.04</f>
        <v/>
      </c>
      <c r="L54" s="9">
        <f>J54*0.13</f>
        <v/>
      </c>
      <c r="M54" s="9" t="n"/>
      <c r="N54" s="9" t="n"/>
    </row>
    <row r="55" ht="40" customHeight="1" thickBot="1">
      <c r="A55" s="7">
        <f>A54+1</f>
        <v/>
      </c>
      <c r="B55" s="7" t="n"/>
      <c r="C55" s="8" t="inlineStr">
        <is>
          <t>SHU</t>
        </is>
      </c>
      <c r="D55" s="8" t="inlineStr">
        <is>
          <t>ASH</t>
        </is>
      </c>
      <c r="E55" s="8" t="n"/>
      <c r="F55" s="8" t="n"/>
      <c r="G55" s="8" t="n"/>
      <c r="H55" s="8" t="n"/>
      <c r="I55" s="12" t="n">
        <v>48</v>
      </c>
      <c r="J55" s="9">
        <f>I55+6</f>
        <v/>
      </c>
      <c r="K55" s="9">
        <f>J55*1.04</f>
        <v/>
      </c>
      <c r="L55" s="9">
        <f>J55*0.13</f>
        <v/>
      </c>
      <c r="M55" s="9" t="n"/>
      <c r="N55" s="9" t="n"/>
    </row>
    <row r="56" ht="40" customHeight="1" thickBot="1">
      <c r="A56" s="7">
        <f>A55+1</f>
        <v/>
      </c>
      <c r="B56" s="7" t="n"/>
      <c r="C56" s="8" t="inlineStr">
        <is>
          <t>SIC</t>
        </is>
      </c>
      <c r="D56" s="8" t="inlineStr">
        <is>
          <t>ASH</t>
        </is>
      </c>
      <c r="E56" s="8" t="n"/>
      <c r="F56" s="8" t="n"/>
      <c r="G56" s="8" t="n"/>
      <c r="H56" s="8" t="n"/>
      <c r="I56" s="12" t="n">
        <v>48</v>
      </c>
      <c r="J56" s="9">
        <f>I56+6</f>
        <v/>
      </c>
      <c r="K56" s="9">
        <f>J56*1.04</f>
        <v/>
      </c>
      <c r="L56" s="9">
        <f>J56*0.13</f>
        <v/>
      </c>
      <c r="M56" s="9" t="n"/>
      <c r="N56" s="9" t="n"/>
    </row>
    <row r="57" ht="40" customHeight="1" thickBot="1">
      <c r="A57" s="7">
        <f>A56+1</f>
        <v/>
      </c>
      <c r="B57" s="7" t="n"/>
      <c r="C57" s="8" t="inlineStr">
        <is>
          <t>SMB</t>
        </is>
      </c>
      <c r="D57" s="8" t="inlineStr">
        <is>
          <t>ASH</t>
        </is>
      </c>
      <c r="E57" s="8" t="n"/>
      <c r="F57" s="8" t="n"/>
      <c r="G57" s="8" t="n"/>
      <c r="H57" s="8" t="n"/>
      <c r="I57" s="12" t="n">
        <v>48</v>
      </c>
      <c r="J57" s="9">
        <f>I57+6</f>
        <v/>
      </c>
      <c r="K57" s="9">
        <f>J57*1.04</f>
        <v/>
      </c>
      <c r="L57" s="9">
        <f>J57*0.13</f>
        <v/>
      </c>
      <c r="M57" s="9" t="n"/>
      <c r="N57" s="9" t="n"/>
    </row>
    <row r="58" ht="40" customHeight="1" thickBot="1">
      <c r="A58" s="7">
        <f>A57+1</f>
        <v/>
      </c>
      <c r="B58" s="7" t="n"/>
      <c r="C58" s="8" t="inlineStr">
        <is>
          <t>SMF</t>
        </is>
      </c>
      <c r="D58" s="8" t="inlineStr">
        <is>
          <t>ASH</t>
        </is>
      </c>
      <c r="E58" s="8" t="n"/>
      <c r="F58" s="8" t="n"/>
      <c r="G58" s="8" t="n"/>
      <c r="H58" s="8" t="n"/>
      <c r="I58" s="12" t="n">
        <v>72</v>
      </c>
      <c r="J58" s="9">
        <f>I58+6</f>
        <v/>
      </c>
      <c r="K58" s="9">
        <f>J58*1.04</f>
        <v/>
      </c>
      <c r="L58" s="9">
        <f>J58*0.13</f>
        <v/>
      </c>
      <c r="M58" s="9" t="n"/>
      <c r="N58" s="9" t="n"/>
    </row>
    <row r="59" ht="40" customHeight="1" thickBot="1">
      <c r="A59" s="7">
        <f>A58+1</f>
        <v/>
      </c>
      <c r="B59" s="7" t="n"/>
      <c r="C59" s="8" t="inlineStr">
        <is>
          <t>SQU</t>
        </is>
      </c>
      <c r="D59" s="8" t="inlineStr">
        <is>
          <t>ASH</t>
        </is>
      </c>
      <c r="E59" s="8" t="n"/>
      <c r="F59" s="8" t="n"/>
      <c r="G59" s="8" t="n"/>
      <c r="H59" s="8" t="n"/>
      <c r="I59" s="12" t="n">
        <v>48</v>
      </c>
      <c r="J59" s="9">
        <f>I59+6</f>
        <v/>
      </c>
      <c r="K59" s="9">
        <f>J59*1.04</f>
        <v/>
      </c>
      <c r="L59" s="9">
        <f>J59*0.13</f>
        <v/>
      </c>
      <c r="M59" s="9" t="n"/>
      <c r="N59" s="9" t="n"/>
    </row>
    <row r="60" ht="40" customHeight="1" thickBot="1">
      <c r="A60" s="7">
        <f>A59+1</f>
        <v/>
      </c>
      <c r="B60" s="7" t="n"/>
      <c r="C60" s="8" t="inlineStr">
        <is>
          <t>SSB</t>
        </is>
      </c>
      <c r="D60" s="8" t="inlineStr">
        <is>
          <t>ASH</t>
        </is>
      </c>
      <c r="E60" s="8" t="n"/>
      <c r="F60" s="8" t="n"/>
      <c r="G60" s="8" t="n"/>
      <c r="H60" s="8" t="n"/>
      <c r="I60" s="12" t="n">
        <v>72</v>
      </c>
      <c r="J60" s="9">
        <f>I60+6</f>
        <v/>
      </c>
      <c r="K60" s="9">
        <f>J60*1.04</f>
        <v/>
      </c>
      <c r="L60" s="9">
        <f>J60*0.13</f>
        <v/>
      </c>
      <c r="M60" s="9" t="n"/>
      <c r="N60" s="9" t="n"/>
    </row>
    <row r="61" ht="40" customHeight="1" thickBot="1">
      <c r="A61" s="7">
        <f>A60+1</f>
        <v/>
      </c>
      <c r="B61" s="7" t="n"/>
      <c r="C61" s="8" t="inlineStr">
        <is>
          <t>STJ</t>
        </is>
      </c>
      <c r="D61" s="8" t="inlineStr">
        <is>
          <t>ASH</t>
        </is>
      </c>
      <c r="E61" s="8" t="n"/>
      <c r="F61" s="8" t="n"/>
      <c r="G61" s="8" t="n"/>
      <c r="H61" s="8" t="n"/>
      <c r="I61" s="12" t="n">
        <v>48</v>
      </c>
      <c r="J61" s="9">
        <f>I61+6</f>
        <v/>
      </c>
      <c r="K61" s="9">
        <f>J61*1.04</f>
        <v/>
      </c>
      <c r="L61" s="9">
        <f>J61*0.13</f>
        <v/>
      </c>
      <c r="M61" s="9" t="n"/>
      <c r="N61" s="9" t="n"/>
    </row>
    <row r="62" ht="40" customHeight="1" thickBot="1">
      <c r="A62" s="7">
        <f>A61+1</f>
        <v/>
      </c>
      <c r="B62" s="7" t="n"/>
      <c r="C62" s="8" t="inlineStr">
        <is>
          <t>STN</t>
        </is>
      </c>
      <c r="D62" s="8" t="inlineStr">
        <is>
          <t>ASH</t>
        </is>
      </c>
      <c r="E62" s="8" t="n"/>
      <c r="F62" s="8" t="n"/>
      <c r="G62" s="8" t="n"/>
      <c r="H62" s="8" t="n"/>
      <c r="I62" s="12" t="n">
        <v>48</v>
      </c>
      <c r="J62" s="9">
        <f>I62+6</f>
        <v/>
      </c>
      <c r="K62" s="9">
        <f>J62*1.04</f>
        <v/>
      </c>
      <c r="L62" s="9">
        <f>J62*0.13</f>
        <v/>
      </c>
      <c r="M62" s="9" t="n"/>
      <c r="N62" s="9" t="n"/>
    </row>
    <row r="63" ht="40" customHeight="1" thickBot="1">
      <c r="A63" s="7">
        <f>A62+1</f>
        <v/>
      </c>
      <c r="B63" s="7" t="n"/>
      <c r="C63" s="8" t="inlineStr">
        <is>
          <t>TCU</t>
        </is>
      </c>
      <c r="D63" s="8" t="inlineStr">
        <is>
          <t>ASH</t>
        </is>
      </c>
      <c r="E63" s="8" t="n"/>
      <c r="F63" s="8" t="n"/>
      <c r="G63" s="8" t="n"/>
      <c r="H63" s="8" t="n"/>
      <c r="I63" s="12" t="n">
        <v>172</v>
      </c>
      <c r="J63" s="9">
        <f>I63+6</f>
        <v/>
      </c>
      <c r="K63" s="9">
        <f>J63*1.04</f>
        <v/>
      </c>
      <c r="L63" s="9">
        <f>J63*0.13</f>
        <v/>
      </c>
      <c r="M63" s="9" t="n"/>
      <c r="N63" s="9" t="n"/>
    </row>
    <row r="64" ht="40" customHeight="1" thickBot="1">
      <c r="A64" s="7">
        <f>A63+1</f>
        <v/>
      </c>
      <c r="B64" s="7" t="n"/>
      <c r="C64" s="8" t="inlineStr">
        <is>
          <t>TNS</t>
        </is>
      </c>
      <c r="D64" s="8" t="inlineStr">
        <is>
          <t>ASH</t>
        </is>
      </c>
      <c r="E64" s="8" t="n"/>
      <c r="F64" s="8" t="n"/>
      <c r="G64" s="8" t="n"/>
      <c r="H64" s="8" t="n"/>
      <c r="I64" s="12" t="n">
        <v>48</v>
      </c>
      <c r="J64" s="9">
        <f>I64+6</f>
        <v/>
      </c>
      <c r="K64" s="9">
        <f>J64*1.04</f>
        <v/>
      </c>
      <c r="L64" s="9">
        <f>J64*0.13</f>
        <v/>
      </c>
      <c r="M64" s="9" t="n"/>
      <c r="N64" s="9" t="n"/>
    </row>
    <row r="65" ht="40" customHeight="1" thickBot="1">
      <c r="A65" s="7">
        <f>A64+1</f>
        <v/>
      </c>
      <c r="B65" s="7" t="n"/>
      <c r="C65" s="8" t="inlineStr">
        <is>
          <t>TOW</t>
        </is>
      </c>
      <c r="D65" s="8" t="inlineStr">
        <is>
          <t>ASH</t>
        </is>
      </c>
      <c r="E65" s="8" t="n"/>
      <c r="F65" s="8" t="n"/>
      <c r="G65" s="8" t="n"/>
      <c r="H65" s="8" t="n"/>
      <c r="I65" s="12" t="n">
        <v>48</v>
      </c>
      <c r="J65" s="9">
        <f>I65+6</f>
        <v/>
      </c>
      <c r="K65" s="9">
        <f>J65*1.04</f>
        <v/>
      </c>
      <c r="L65" s="9">
        <f>J65*0.13</f>
        <v/>
      </c>
      <c r="M65" s="9" t="n"/>
      <c r="N65" s="9" t="n"/>
    </row>
    <row r="66" ht="40" customHeight="1" thickBot="1">
      <c r="A66" s="7">
        <f>A65+1</f>
        <v/>
      </c>
      <c r="B66" s="7" t="n"/>
      <c r="C66" s="8" t="inlineStr">
        <is>
          <t>TPL</t>
        </is>
      </c>
      <c r="D66" s="8" t="inlineStr">
        <is>
          <t>ASH</t>
        </is>
      </c>
      <c r="E66" s="8" t="n"/>
      <c r="F66" s="8" t="n"/>
      <c r="G66" s="8" t="n"/>
      <c r="H66" s="8" t="n"/>
      <c r="I66" s="12" t="n">
        <v>60</v>
      </c>
      <c r="J66" s="9">
        <f>I66+6</f>
        <v/>
      </c>
      <c r="K66" s="9">
        <f>J66*1.04</f>
        <v/>
      </c>
      <c r="L66" s="9">
        <f>J66*0.13</f>
        <v/>
      </c>
      <c r="M66" s="9" t="n"/>
      <c r="N66" s="9" t="n"/>
    </row>
    <row r="67" ht="40" customHeight="1" thickBot="1">
      <c r="A67" s="7">
        <f>A66+1</f>
        <v/>
      </c>
      <c r="B67" s="7" t="n"/>
      <c r="C67" s="8" t="inlineStr">
        <is>
          <t>TSK</t>
        </is>
      </c>
      <c r="D67" s="8" t="inlineStr">
        <is>
          <t>ASH</t>
        </is>
      </c>
      <c r="E67" s="8" t="n"/>
      <c r="F67" s="8" t="n"/>
      <c r="G67" s="8" t="n"/>
      <c r="H67" s="8" t="n"/>
      <c r="I67" s="12" t="n">
        <v>48</v>
      </c>
      <c r="J67" s="9">
        <f>I67+6</f>
        <v/>
      </c>
      <c r="K67" s="9">
        <f>J67*1.04</f>
        <v/>
      </c>
      <c r="L67" s="9">
        <f>J67*0.13</f>
        <v/>
      </c>
      <c r="M67" s="9" t="n"/>
      <c r="N67" s="9" t="n"/>
    </row>
    <row r="68" ht="40" customHeight="1" thickBot="1">
      <c r="A68" s="7">
        <f>A67+1</f>
        <v/>
      </c>
      <c r="B68" s="7" t="n"/>
      <c r="C68" s="8" t="inlineStr">
        <is>
          <t>TSO</t>
        </is>
      </c>
      <c r="D68" s="8" t="inlineStr">
        <is>
          <t>ASH</t>
        </is>
      </c>
      <c r="E68" s="8" t="n"/>
      <c r="F68" s="8" t="n"/>
      <c r="G68" s="8" t="n"/>
      <c r="H68" s="8" t="n"/>
      <c r="I68" s="12" t="n">
        <v>48</v>
      </c>
      <c r="J68" s="9">
        <f>I68+6</f>
        <v/>
      </c>
      <c r="K68" s="9">
        <f>J68*1.04</f>
        <v/>
      </c>
      <c r="L68" s="9">
        <f>J68*0.13</f>
        <v/>
      </c>
      <c r="M68" s="9" t="n"/>
      <c r="N68" s="9" t="n"/>
    </row>
    <row r="69" ht="40" customHeight="1" thickBot="1">
      <c r="A69" s="7">
        <f>A68+1</f>
        <v/>
      </c>
      <c r="B69" s="7" t="n"/>
      <c r="C69" s="8" t="inlineStr">
        <is>
          <t>TSU</t>
        </is>
      </c>
      <c r="D69" s="8" t="inlineStr">
        <is>
          <t>ASH</t>
        </is>
      </c>
      <c r="E69" s="8" t="n"/>
      <c r="F69" s="8" t="n"/>
      <c r="G69" s="8" t="n"/>
      <c r="H69" s="8" t="n"/>
      <c r="I69" s="12" t="n">
        <v>60</v>
      </c>
      <c r="J69" s="9">
        <f>I69+6</f>
        <v/>
      </c>
      <c r="K69" s="9">
        <f>J69*1.04</f>
        <v/>
      </c>
      <c r="L69" s="9">
        <f>J69*0.13</f>
        <v/>
      </c>
      <c r="M69" s="9" t="n"/>
      <c r="N69" s="9" t="n"/>
    </row>
    <row r="70" ht="40" customHeight="1" thickBot="1">
      <c r="A70" s="7">
        <f>A69+1</f>
        <v/>
      </c>
      <c r="B70" s="7" t="n"/>
      <c r="C70" s="8" t="inlineStr">
        <is>
          <t>TTU</t>
        </is>
      </c>
      <c r="D70" s="8" t="inlineStr">
        <is>
          <t>ASH</t>
        </is>
      </c>
      <c r="E70" s="8" t="n"/>
      <c r="F70" s="8" t="n"/>
      <c r="G70" s="8" t="n"/>
      <c r="H70" s="8" t="n"/>
      <c r="I70" s="12" t="n">
        <v>84</v>
      </c>
      <c r="J70" s="9">
        <f>I70+6</f>
        <v/>
      </c>
      <c r="K70" s="9">
        <f>J70*1.04</f>
        <v/>
      </c>
      <c r="L70" s="9">
        <f>J70*0.13</f>
        <v/>
      </c>
      <c r="M70" s="9" t="n"/>
      <c r="N70" s="9" t="n"/>
    </row>
    <row r="71" ht="40" customHeight="1" thickBot="1">
      <c r="A71" s="7">
        <f>A70+1</f>
        <v/>
      </c>
      <c r="B71" s="7" t="n"/>
      <c r="C71" s="8" t="inlineStr">
        <is>
          <t>UCH</t>
        </is>
      </c>
      <c r="D71" s="8" t="inlineStr">
        <is>
          <t>ASH</t>
        </is>
      </c>
      <c r="E71" s="8" t="n"/>
      <c r="F71" s="8" t="n"/>
      <c r="G71" s="8" t="n"/>
      <c r="H71" s="8" t="n"/>
      <c r="I71" s="12" t="n">
        <v>48</v>
      </c>
      <c r="J71" s="9">
        <f>I71+6</f>
        <v/>
      </c>
      <c r="K71" s="9">
        <f>J71*1.04</f>
        <v/>
      </c>
      <c r="L71" s="9">
        <f>J71*0.13</f>
        <v/>
      </c>
      <c r="M71" s="9" t="n"/>
      <c r="N71" s="9" t="n"/>
    </row>
    <row r="72" ht="40" customHeight="1" thickBot="1">
      <c r="A72" s="7">
        <f>A71+1</f>
        <v/>
      </c>
      <c r="B72" s="7" t="n"/>
      <c r="C72" s="8" t="inlineStr">
        <is>
          <t>ULV</t>
        </is>
      </c>
      <c r="D72" s="8" t="inlineStr">
        <is>
          <t>ASH</t>
        </is>
      </c>
      <c r="E72" s="8" t="n"/>
      <c r="F72" s="8" t="n"/>
      <c r="G72" s="8" t="n"/>
      <c r="H72" s="8" t="n"/>
      <c r="I72" s="12" t="n">
        <v>72</v>
      </c>
      <c r="J72" s="9">
        <f>I72+6</f>
        <v/>
      </c>
      <c r="K72" s="9">
        <f>J72*1.04</f>
        <v/>
      </c>
      <c r="L72" s="9">
        <f>J72*0.13</f>
        <v/>
      </c>
      <c r="M72" s="9" t="n"/>
      <c r="N72" s="9" t="n"/>
    </row>
    <row r="73" ht="40" customHeight="1" thickBot="1">
      <c r="A73" s="7">
        <f>A72+1</f>
        <v/>
      </c>
      <c r="B73" s="7" t="n"/>
      <c r="C73" s="8" t="inlineStr">
        <is>
          <t>UMS</t>
        </is>
      </c>
      <c r="D73" s="8" t="inlineStr">
        <is>
          <t>ASH</t>
        </is>
      </c>
      <c r="E73" s="8" t="n"/>
      <c r="F73" s="8" t="n"/>
      <c r="G73" s="8" t="n"/>
      <c r="H73" s="8" t="n"/>
      <c r="I73" s="12" t="n">
        <v>96</v>
      </c>
      <c r="J73" s="9">
        <f>I73+6</f>
        <v/>
      </c>
      <c r="K73" s="9">
        <f>J73*1.04</f>
        <v/>
      </c>
      <c r="L73" s="9">
        <f>J73*0.13</f>
        <v/>
      </c>
      <c r="M73" s="9" t="n"/>
      <c r="N73" s="9" t="n"/>
    </row>
    <row r="74" ht="40" customHeight="1" thickBot="1">
      <c r="A74" s="7">
        <f>A73+1</f>
        <v/>
      </c>
      <c r="B74" s="7" t="n"/>
      <c r="C74" s="8" t="inlineStr">
        <is>
          <t>UMT</t>
        </is>
      </c>
      <c r="D74" s="8" t="inlineStr">
        <is>
          <t>ASH</t>
        </is>
      </c>
      <c r="E74" s="8" t="n"/>
      <c r="F74" s="8" t="n"/>
      <c r="G74" s="8" t="n"/>
      <c r="H74" s="8" t="n"/>
      <c r="I74" s="12" t="n">
        <v>48</v>
      </c>
      <c r="J74" s="9">
        <f>I74+6</f>
        <v/>
      </c>
      <c r="K74" s="9">
        <f>J74*1.04</f>
        <v/>
      </c>
      <c r="L74" s="9">
        <f>J74*0.13</f>
        <v/>
      </c>
      <c r="M74" s="9" t="n"/>
      <c r="N74" s="9" t="n"/>
    </row>
    <row r="75" ht="40" customHeight="1" thickBot="1">
      <c r="A75" s="7">
        <f>A74+1</f>
        <v/>
      </c>
      <c r="B75" s="7" t="n"/>
      <c r="C75" s="8" t="inlineStr">
        <is>
          <t>UNE</t>
        </is>
      </c>
      <c r="D75" s="8" t="inlineStr">
        <is>
          <t>ASH</t>
        </is>
      </c>
      <c r="E75" s="8" t="n"/>
      <c r="F75" s="8" t="n"/>
      <c r="G75" s="8" t="n"/>
      <c r="H75" s="8" t="n"/>
      <c r="I75" s="12" t="n">
        <v>48</v>
      </c>
      <c r="J75" s="9">
        <f>I75+6</f>
        <v/>
      </c>
      <c r="K75" s="9">
        <f>J75*1.04</f>
        <v/>
      </c>
      <c r="L75" s="9">
        <f>J75*0.13</f>
        <v/>
      </c>
      <c r="M75" s="9" t="n"/>
      <c r="N75" s="9" t="n"/>
    </row>
    <row r="76" ht="40" customHeight="1" thickBot="1">
      <c r="A76" s="7">
        <f>A75+1</f>
        <v/>
      </c>
      <c r="B76" s="7" t="n"/>
      <c r="C76" s="8" t="inlineStr">
        <is>
          <t>UNF</t>
        </is>
      </c>
      <c r="D76" s="8" t="inlineStr">
        <is>
          <t>ASH</t>
        </is>
      </c>
      <c r="E76" s="8" t="n"/>
      <c r="F76" s="8" t="n"/>
      <c r="G76" s="8" t="n"/>
      <c r="H76" s="8" t="n"/>
      <c r="I76" s="12" t="n">
        <v>48</v>
      </c>
      <c r="J76" s="9">
        <f>I76+6</f>
        <v/>
      </c>
      <c r="K76" s="9">
        <f>J76*1.04</f>
        <v/>
      </c>
      <c r="L76" s="9">
        <f>J76*0.13</f>
        <v/>
      </c>
      <c r="M76" s="9" t="n"/>
      <c r="N76" s="9" t="n"/>
    </row>
    <row r="77" ht="40" customHeight="1" thickBot="1">
      <c r="A77" s="7">
        <f>A76+1</f>
        <v/>
      </c>
      <c r="B77" s="7" t="n"/>
      <c r="C77" s="8" t="inlineStr">
        <is>
          <t>USC</t>
        </is>
      </c>
      <c r="D77" s="8" t="inlineStr">
        <is>
          <t>ASH</t>
        </is>
      </c>
      <c r="E77" s="8" t="n"/>
      <c r="F77" s="8" t="n"/>
      <c r="G77" s="8" t="n"/>
      <c r="H77" s="8" t="n"/>
      <c r="I77" s="12" t="n">
        <v>108</v>
      </c>
      <c r="J77" s="9">
        <f>I77+6</f>
        <v/>
      </c>
      <c r="K77" s="9">
        <f>J77*1.04</f>
        <v/>
      </c>
      <c r="L77" s="9">
        <f>J77*0.13</f>
        <v/>
      </c>
      <c r="M77" s="9" t="n"/>
      <c r="N77" s="9" t="n"/>
    </row>
    <row r="78" ht="40" customHeight="1" thickBot="1">
      <c r="A78" s="7">
        <f>A77+1</f>
        <v/>
      </c>
      <c r="B78" s="7" t="n"/>
      <c r="C78" s="8" t="inlineStr">
        <is>
          <t>VAN</t>
        </is>
      </c>
      <c r="D78" s="8" t="inlineStr">
        <is>
          <t>ASH</t>
        </is>
      </c>
      <c r="E78" s="8" t="n"/>
      <c r="F78" s="8" t="n"/>
      <c r="G78" s="8" t="n"/>
      <c r="H78" s="8" t="n"/>
      <c r="I78" s="12" t="n">
        <v>96</v>
      </c>
      <c r="J78" s="9">
        <f>I78+6</f>
        <v/>
      </c>
      <c r="K78" s="9">
        <f>J78*1.04</f>
        <v/>
      </c>
      <c r="L78" s="9">
        <f>J78*0.13</f>
        <v/>
      </c>
      <c r="M78" s="9" t="n"/>
      <c r="N78" s="9" t="n"/>
    </row>
    <row r="79" ht="40" customHeight="1" thickBot="1">
      <c r="A79" s="7">
        <f>A78+1</f>
        <v/>
      </c>
      <c r="B79" s="7" t="n"/>
      <c r="C79" s="8" t="inlineStr">
        <is>
          <t>VTU</t>
        </is>
      </c>
      <c r="D79" s="8" t="inlineStr">
        <is>
          <t>ASH</t>
        </is>
      </c>
      <c r="E79" s="8" t="n"/>
      <c r="F79" s="8" t="n"/>
      <c r="G79" s="8" t="n"/>
      <c r="H79" s="8" t="n"/>
      <c r="I79" s="12" t="n">
        <v>144</v>
      </c>
      <c r="J79" s="9">
        <f>I79+6</f>
        <v/>
      </c>
      <c r="K79" s="9">
        <f>J79*1.04</f>
        <v/>
      </c>
      <c r="L79" s="9">
        <f>J79*0.13</f>
        <v/>
      </c>
      <c r="M79" s="9" t="n"/>
      <c r="N79" s="9" t="n"/>
    </row>
    <row r="80" ht="40" customHeight="1" thickBot="1">
      <c r="A80" s="7">
        <f>A79+1</f>
        <v/>
      </c>
      <c r="B80" s="7" t="n"/>
      <c r="C80" s="8" t="inlineStr">
        <is>
          <t>WAU</t>
        </is>
      </c>
      <c r="D80" s="8" t="inlineStr">
        <is>
          <t>ASH</t>
        </is>
      </c>
      <c r="E80" s="8" t="n"/>
      <c r="F80" s="8" t="n"/>
      <c r="G80" s="8" t="n"/>
      <c r="H80" s="8" t="n"/>
      <c r="I80" s="12" t="n">
        <v>48</v>
      </c>
      <c r="J80" s="9">
        <f>I80+6</f>
        <v/>
      </c>
      <c r="K80" s="9">
        <f>J80*1.04</f>
        <v/>
      </c>
      <c r="L80" s="9">
        <f>J80*0.13</f>
        <v/>
      </c>
      <c r="M80" s="9" t="n"/>
      <c r="N80" s="9" t="n"/>
    </row>
    <row r="81" ht="40" customHeight="1" thickBot="1">
      <c r="A81" s="7">
        <f>A80+1</f>
        <v/>
      </c>
      <c r="B81" s="7" t="n"/>
      <c r="C81" s="8" t="inlineStr">
        <is>
          <t>WFU</t>
        </is>
      </c>
      <c r="D81" s="8" t="inlineStr">
        <is>
          <t>ASH</t>
        </is>
      </c>
      <c r="E81" s="8" t="n"/>
      <c r="F81" s="8" t="n"/>
      <c r="G81" s="8" t="n"/>
      <c r="H81" s="8" t="n"/>
      <c r="I81" s="12" t="n">
        <v>72</v>
      </c>
      <c r="J81" s="9">
        <f>I81+6</f>
        <v/>
      </c>
      <c r="K81" s="9">
        <f>J81*1.04</f>
        <v/>
      </c>
      <c r="L81" s="9">
        <f>J81*0.13</f>
        <v/>
      </c>
      <c r="M81" s="9" t="n"/>
      <c r="N81" s="9" t="n"/>
    </row>
    <row r="82" ht="40" customHeight="1" thickBot="1">
      <c r="A82" s="7">
        <f>A81+1</f>
        <v/>
      </c>
      <c r="B82" s="7" t="n"/>
      <c r="C82" s="8" t="inlineStr">
        <is>
          <t>WMU</t>
        </is>
      </c>
      <c r="D82" s="8" t="inlineStr">
        <is>
          <t>ASH</t>
        </is>
      </c>
      <c r="E82" s="8" t="n"/>
      <c r="F82" s="8" t="n"/>
      <c r="G82" s="8" t="n"/>
      <c r="H82" s="8" t="n"/>
      <c r="I82" s="12" t="n">
        <v>48</v>
      </c>
      <c r="J82" s="9">
        <f>I82+6</f>
        <v/>
      </c>
      <c r="K82" s="9">
        <f>J82*1.04</f>
        <v/>
      </c>
      <c r="L82" s="9">
        <f>J82*0.13</f>
        <v/>
      </c>
      <c r="M82" s="9" t="n"/>
      <c r="N82" s="9" t="n"/>
    </row>
    <row r="83" ht="40" customHeight="1" thickBot="1">
      <c r="A83" s="7">
        <f>A82+1</f>
        <v/>
      </c>
      <c r="B83" s="7" t="n"/>
      <c r="C83" s="8" t="inlineStr">
        <is>
          <t>WPL</t>
        </is>
      </c>
      <c r="D83" s="8" t="inlineStr">
        <is>
          <t>ASH</t>
        </is>
      </c>
      <c r="E83" s="8" t="n"/>
      <c r="F83" s="8" t="n"/>
      <c r="G83" s="8" t="n"/>
      <c r="H83" s="8" t="n"/>
      <c r="I83" s="12" t="n">
        <v>60</v>
      </c>
      <c r="J83" s="9">
        <f>I83+6</f>
        <v/>
      </c>
      <c r="K83" s="9">
        <f>J83*1.04</f>
        <v/>
      </c>
      <c r="L83" s="9">
        <f>J83*0.13</f>
        <v/>
      </c>
      <c r="M83" s="9" t="n"/>
      <c r="N83" s="9" t="n"/>
    </row>
    <row r="84" ht="40" customHeight="1" thickBot="1">
      <c r="A84" s="7">
        <f>A83+1</f>
        <v/>
      </c>
      <c r="B84" s="7" t="n"/>
      <c r="C84" s="8" t="inlineStr">
        <is>
          <t>WST</t>
        </is>
      </c>
      <c r="D84" s="8" t="inlineStr">
        <is>
          <t>ASH</t>
        </is>
      </c>
      <c r="E84" s="8" t="n"/>
      <c r="F84" s="8" t="n"/>
      <c r="G84" s="8" t="n"/>
      <c r="H84" s="8" t="n"/>
      <c r="I84" s="12" t="n">
        <v>48</v>
      </c>
      <c r="J84" s="9">
        <f>I84+6</f>
        <v/>
      </c>
      <c r="K84" s="9">
        <f>J84*1.04</f>
        <v/>
      </c>
      <c r="L84" s="9">
        <f>J84*0.13</f>
        <v/>
      </c>
      <c r="M84" s="9" t="n"/>
      <c r="N84" s="9" t="n"/>
    </row>
    <row r="85" ht="40" customHeight="1" thickBot="1">
      <c r="A85" s="7">
        <f>A84+1</f>
        <v/>
      </c>
      <c r="B85" s="7" t="n"/>
      <c r="C85" s="8" t="inlineStr">
        <is>
          <t>WVU</t>
        </is>
      </c>
      <c r="D85" s="8" t="inlineStr">
        <is>
          <t>ASH</t>
        </is>
      </c>
      <c r="E85" s="8" t="n"/>
      <c r="F85" s="8" t="n"/>
      <c r="G85" s="8" t="n"/>
      <c r="H85" s="8" t="n"/>
      <c r="I85" s="12" t="n">
        <v>48</v>
      </c>
      <c r="J85" s="9">
        <f>I85+6</f>
        <v/>
      </c>
      <c r="K85" s="9">
        <f>J85*1.04</f>
        <v/>
      </c>
      <c r="L85" s="9">
        <f>J85*0.13</f>
        <v/>
      </c>
      <c r="M85" s="9" t="n"/>
      <c r="N85" s="9" t="n"/>
    </row>
    <row r="86">
      <c r="I86" s="10">
        <f>SUM(I4:I85)</f>
        <v/>
      </c>
      <c r="J86" s="10">
        <f>SUM(J4:J85)</f>
        <v/>
      </c>
      <c r="K86" s="1">
        <f>J86*1.04</f>
        <v/>
      </c>
      <c r="L86" s="1">
        <f>J86*0.13</f>
        <v/>
      </c>
    </row>
    <row r="90">
      <c r="J90" s="14" t="n"/>
      <c r="K90" s="14" t="n"/>
      <c r="L90" s="14" t="n"/>
    </row>
    <row r="95">
      <c r="J95" s="14" t="n"/>
      <c r="K95" s="14" t="n"/>
      <c r="L95" s="14" t="n"/>
    </row>
    <row r="102">
      <c r="D102" s="15" t="n"/>
    </row>
    <row r="103">
      <c r="D103" s="15" t="n"/>
    </row>
  </sheetData>
  <mergeCells count="1">
    <mergeCell ref="K2:L2"/>
  </mergeCells>
  <pageMargins left="0.45" right="0.2" top="0.75" bottom="0.75" header="0.3" footer="0.3"/>
  <pageSetup orientation="landscape" scale="95"/>
  <colBreaks count="1" manualBreakCount="1">
    <brk id="14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Sair Shafiq ur Rehman</dc:creator>
  <dcterms:created xsi:type="dcterms:W3CDTF">2015-06-05T18:17:20Z</dcterms:created>
  <dcterms:modified xsi:type="dcterms:W3CDTF">2026-08-29T19:08:31Z</dcterms:modified>
  <cp:lastModifiedBy>Sair Shafiq ur Rehman</cp:lastModifiedBy>
  <cp:lastPrinted>2026-07-29T12:14:45Z</cp:lastPrinted>
</cp:coreProperties>
</file>